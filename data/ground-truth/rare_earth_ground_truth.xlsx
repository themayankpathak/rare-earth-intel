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_to" sheetId="1" state="visible" r:id="rId3"/>
    <sheet name="worklist" sheetId="2" state="visible" r:id="rId4"/>
    <sheet name="lists" sheetId="3" state="visible" r:id="rId5"/>
    <sheet name="ground_truth" sheetId="4" state="visible" r:id="rId6"/>
    <sheet name="checks" sheetId="5" state="visible" r:id="rId7"/>
    <sheet name="example_row" sheetId="6" state="visible" r:id="rId8"/>
    <sheet name="sources" sheetId="7" state="visible" r:id="rId9"/>
  </sheets>
  <definedNames>
    <definedName function="false" hidden="true" localSheetId="3" name="_xlnm._FilterDatabase" vbProcedure="false">ground_truth!$A$1:$AB$1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<sst xmlns="http://schemas.openxmlformats.org/spreadsheetml/2006/main" count="835" uniqueCount="314">
  <si>
    <t xml:space="preserve">Rare Earth Intel - ground truth workbook v3</t>
  </si>
  <si>
    <t xml:space="preserve">SHEET ORDER OF USE</t>
  </si>
  <si>
    <t xml:space="preserve">1. worklist   - the 20 numbers to find, which page, and the trap each one tests</t>
  </si>
  <si>
    <t xml:space="preserve">2. example_row - GT01 worked out, as a format reference. Do not copy it; rebuild it.</t>
  </si>
  <si>
    <t xml:space="preserve">3. ground_truth - you type here. One number from the page = one row.</t>
  </si>
  <si>
    <t xml:space="preserve">4. checks     - live formulas. All must read PASS before you send the file.</t>
  </si>
  <si>
    <t xml:space="preserve">5. lists      - controlled vocabulary. Two metrics are missing on purpose.</t>
  </si>
  <si>
    <t xml:space="preserve">6. sources    - document registry.</t>
  </si>
  <si>
    <t xml:space="preserve">BEFORE YOU TYPE ANYTHING</t>
  </si>
  <si>
    <t xml:space="preserve">Read PDF p.47 (printed p.43). It defines every unit in this filing. Four things to note:</t>
  </si>
  <si>
    <t xml:space="preserve">   - REO MT means contained REO; the concentrate is above 60% REO grade</t>
  </si>
  <si>
    <t xml:space="preserve">   - NdPr MT is oxide-equivalent, metal converted at an assumed 1.20 ratio</t>
  </si>
  <si>
    <t xml:space="preserve">   - NdPr sales volume includes intercompany sales from Q4 2025</t>
  </si>
  <si>
    <t xml:space="preserve">   - Realized price = concentrate sales divided by REO sales volume</t>
  </si>
  <si>
    <t xml:space="preserve">Then compare the italic line under each table header:</t>
  </si>
  <si>
    <t xml:space="preserve">   p.48 (printed 44) says 'in thousands, except percentages'      -&gt; scale_factor 1000</t>
  </si>
  <si>
    <t xml:space="preserve">   p.53 (printed 49) KPI table says 'in whole units or dollars' -&gt; scale_factor 1. The revenue/PPA table BELOW it on the same page is 'in thousands'.</t>
  </si>
  <si>
    <t xml:space="preserve">Same filing, two tables, different scales. This is the single most likely error.</t>
  </si>
  <si>
    <t xml:space="preserve">THE RULE THAT UNBLOCKS EVERYTHING</t>
  </si>
  <si>
    <t xml:space="preserve">One number from the page becomes one row. Revenue and volume from the same table line</t>
  </si>
  <si>
    <t xml:space="preserve">are two separate rows. They connect by sharing entity, segment, material, chain_stage</t>
  </si>
  <si>
    <t xml:space="preserve">and period. The division that turns them into a price happens later, in code, never here.</t>
  </si>
  <si>
    <t xml:space="preserve">TWO PASSES</t>
  </si>
  <si>
    <t xml:space="preserve">Pass one, capture (about a minute a row). Copy the number into raw_text exactly as printed</t>
  </si>
  <si>
    <t xml:space="preserve">first, before thinking. Then read off the surroundings: row label gives material and chain</t>
  </si>
  <si>
    <t xml:space="preserve">stage, column header gives the period, table header gives scale and currency, section</t>
  </si>
  <si>
    <t xml:space="preserve">heading gives the metric. Fill row_id, entity, material, metric, period, period_end_date,</t>
  </si>
  <si>
    <t xml:space="preserve">value_reported, scale_factor, unit, currency, source_document, pdf_page, raw_text, language.</t>
  </si>
  <si>
    <t xml:space="preserve">Pass two, classify. Go back over the rows you already have, without reopening the PDF, and</t>
  </si>
  <si>
    <t xml:space="preserve">fill entity_scope, segment, basis, price_basis, derivation, is_comparative, confidence, notes.</t>
  </si>
  <si>
    <t xml:space="preserve">This pass is fast because you are no longer hunting through a document.</t>
  </si>
  <si>
    <t xml:space="preserve">WHEN YOU FINISH</t>
  </si>
  <si>
    <t xml:space="preserve">Open the checks sheet. Every row should say PASS, including the arithmetic reconciliation</t>
  </si>
  <si>
    <t xml:space="preserve">at the bottom, which divides your GT01 by your GT05 and compares it to your GT07.</t>
  </si>
  <si>
    <t xml:space="preserve">If that one fails, one of those three rows has the wrong scale_factor.</t>
  </si>
  <si>
    <t xml:space="preserve">target_id</t>
  </si>
  <si>
    <t xml:space="preserve">filled?</t>
  </si>
  <si>
    <t xml:space="preserve">number as printed</t>
  </si>
  <si>
    <t xml:space="preserve">what it is</t>
  </si>
  <si>
    <t xml:space="preserve">period</t>
  </si>
  <si>
    <t xml:space="preserve">pdf_page</t>
  </si>
  <si>
    <t xml:space="preserve">printed_page</t>
  </si>
  <si>
    <t xml:space="preserve">trap this row tests</t>
  </si>
  <si>
    <t xml:space="preserve">GT01</t>
  </si>
  <si>
    <t xml:space="preserve">yes</t>
  </si>
  <si>
    <t xml:space="preserve">41,992</t>
  </si>
  <si>
    <t xml:space="preserve">Rare earth concentrate revenue</t>
  </si>
  <si>
    <t xml:space="preserve">FY2025</t>
  </si>
  <si>
    <t xml:space="preserve">Scale. Table header says 'in thousands' -&gt; scale_factor 1000.</t>
  </si>
  <si>
    <t xml:space="preserve">GT02</t>
  </si>
  <si>
    <t xml:space="preserve">144,363</t>
  </si>
  <si>
    <t xml:space="preserve">FY2024</t>
  </si>
  <si>
    <t xml:space="preserve">Comparative. period=FY2024 but source_document stays the FY2025 file. is_comparative TRUE.</t>
  </si>
  <si>
    <t xml:space="preserve">GT03</t>
  </si>
  <si>
    <t xml:space="preserve">252,468</t>
  </si>
  <si>
    <t xml:space="preserve">FY2023</t>
  </si>
  <si>
    <t xml:space="preserve">Comparative.</t>
  </si>
  <si>
    <t xml:space="preserve">GT04</t>
  </si>
  <si>
    <t xml:space="preserve">50,692</t>
  </si>
  <si>
    <t xml:space="preserve">REO Production Volume (MTs)</t>
  </si>
  <si>
    <t xml:space="preserve">Production, not sales. Different metric from GT05. MP produced 50,692 and sold 8,922.</t>
  </si>
  <si>
    <t xml:space="preserve">GT05</t>
  </si>
  <si>
    <t xml:space="preserve">8,922</t>
  </si>
  <si>
    <t xml:space="preserve">REO Sales Volume (MTs)</t>
  </si>
  <si>
    <t xml:space="preserve">Basis. MT = contained REO, concentrate is &gt;60% grade, so ~14,900 t physical. basis=contained_REO.</t>
  </si>
  <si>
    <t xml:space="preserve">GT06</t>
  </si>
  <si>
    <t xml:space="preserve">32,703</t>
  </si>
  <si>
    <t xml:space="preserve">Comparative + basis.</t>
  </si>
  <si>
    <t xml:space="preserve">GT07</t>
  </si>
  <si>
    <t xml:space="preserve">4,707</t>
  </si>
  <si>
    <t xml:space="preserve">Realized Price per REO MT</t>
  </si>
  <si>
    <t xml:space="preserve">Basket price across the whole REO mix incl. Ce and La. price_basis=basket. Scale is 1 here, not 1000.</t>
  </si>
  <si>
    <t xml:space="preserve">GT08</t>
  </si>
  <si>
    <t xml:space="preserve">6,854</t>
  </si>
  <si>
    <t xml:space="preserve">Comparative + basket.</t>
  </si>
  <si>
    <t xml:space="preserve">GT09</t>
  </si>
  <si>
    <t xml:space="preserve">115,131</t>
  </si>
  <si>
    <t xml:space="preserve">NdPr oxide and metal revenue</t>
  </si>
  <si>
    <t xml:space="preserve">Blended line spanning two chain stages. Use chain_stage=oxide, basis=oxide_equivalent, confidence=low, explain in notes.</t>
  </si>
  <si>
    <t xml:space="preserve">GT10</t>
  </si>
  <si>
    <t xml:space="preserve">695</t>
  </si>
  <si>
    <t xml:space="preserve">Small number, still in thousands. Easy to record as 695 dollars.</t>
  </si>
  <si>
    <t xml:space="preserve">GT11</t>
  </si>
  <si>
    <t xml:space="preserve">2,599</t>
  </si>
  <si>
    <t xml:space="preserve">NdPr Production Volume (MTs)</t>
  </si>
  <si>
    <t xml:space="preserve">Production not sales.</t>
  </si>
  <si>
    <t xml:space="preserve">GT12</t>
  </si>
  <si>
    <t xml:space="preserve">1,994</t>
  </si>
  <si>
    <t xml:space="preserve">NdPr Sales Volume (MTs)</t>
  </si>
  <si>
    <t xml:space="preserve">Oxide-equivalent. Metal converted at assumed 1.20 ratio. Partly a modelling assumption. Also includes intercompany sales from Q4 2025 - say so in notes.</t>
  </si>
  <si>
    <t xml:space="preserve">GT13</t>
  </si>
  <si>
    <t xml:space="preserve">10</t>
  </si>
  <si>
    <t xml:space="preserve">Absurd denominator. Real number, but any price derived from it is meaningless. confidence=low.</t>
  </si>
  <si>
    <t xml:space="preserve">GT14</t>
  </si>
  <si>
    <t xml:space="preserve">66,861</t>
  </si>
  <si>
    <t xml:space="preserve">Magnetic precursor products revenue</t>
  </si>
  <si>
    <t xml:space="preserve">Revenue with no disclosed volume. Record the fact, note that no implied price is derivable. Also: this is the MAGNETICS segment.</t>
  </si>
  <si>
    <t xml:space="preserve">GT15</t>
  </si>
  <si>
    <t xml:space="preserve">(2,789)</t>
  </si>
  <si>
    <t xml:space="preserve">Intersegment eliminations</t>
  </si>
  <si>
    <t xml:space="preserve">Negative value. Record the sign. METRIC NOT IN VOCABULARY - add it to the lists sheet yourself.</t>
  </si>
  <si>
    <t xml:space="preserve">GT16</t>
  </si>
  <si>
    <t xml:space="preserve">224,441</t>
  </si>
  <si>
    <t xml:space="preserve">Total revenue (consolidated)</t>
  </si>
  <si>
    <t xml:space="preserve">entity_scope=consolidated, segment blank. Pairs against GT17.</t>
  </si>
  <si>
    <t xml:space="preserve">GT17</t>
  </si>
  <si>
    <t xml:space="preserve">160,369</t>
  </si>
  <si>
    <t xml:space="preserve">Total Materials segment revenue</t>
  </si>
  <si>
    <t xml:space="preserve">entity_scope=segment, segment=Materials. Same company, same year, $64m apart from GT16. This pair is the point of the whole exercise.</t>
  </si>
  <si>
    <t xml:space="preserve">GT18</t>
  </si>
  <si>
    <t xml:space="preserve">15.7%</t>
  </si>
  <si>
    <t xml:space="preserve">NdPr share of TREO content</t>
  </si>
  <si>
    <t xml:space="preserve">not_applicable</t>
  </si>
  <si>
    <t xml:space="preserve">Percent. unit=percent, currency=none, no scale. Store 15.7 or 0.157 - decide once and note the convention.</t>
  </si>
  <si>
    <t xml:space="preserve">GT19</t>
  </si>
  <si>
    <t xml:space="preserve">50.2%</t>
  </si>
  <si>
    <t xml:space="preserve">Cerium share of TREO content</t>
  </si>
  <si>
    <t xml:space="preserve">Percent. Half the concentrate is near-worthless Ce. This row is why basket prices mislead.</t>
  </si>
  <si>
    <t xml:space="preserve">GT20</t>
  </si>
  <si>
    <t xml:space="preserve">51,016</t>
  </si>
  <si>
    <t xml:space="preserve">Price protection agreement income</t>
  </si>
  <si>
    <t xml:space="preserve">Money outside revenue. In thousands. METRIC NOT IN VOCABULARY - add it yourself.</t>
  </si>
  <si>
    <t xml:space="preserve">All 20 come from mp-materials_10k_FY2025.pdf (Workiva original, 121 pages). pdf_page = printed_page + 4 throughout this file.</t>
  </si>
  <si>
    <t xml:space="preserve">All 20 come from mp-materials_10k_FY2025.pdf. Fill ground_truth yourself - this sheet only says which number to find and what it is testing.</t>
  </si>
  <si>
    <t xml:space="preserve">material</t>
  </si>
  <si>
    <t xml:space="preserve">metric</t>
  </si>
  <si>
    <t xml:space="preserve">chain_stage</t>
  </si>
  <si>
    <t xml:space="preserve">basis</t>
  </si>
  <si>
    <t xml:space="preserve">entity_scope</t>
  </si>
  <si>
    <t xml:space="preserve">price_basis</t>
  </si>
  <si>
    <t xml:space="preserve">derivation</t>
  </si>
  <si>
    <t xml:space="preserve">period_granularity</t>
  </si>
  <si>
    <t xml:space="preserve">unit</t>
  </si>
  <si>
    <t xml:space="preserve">currency</t>
  </si>
  <si>
    <t xml:space="preserve">doc_type</t>
  </si>
  <si>
    <t xml:space="preserve">language</t>
  </si>
  <si>
    <t xml:space="preserve">confidence</t>
  </si>
  <si>
    <t xml:space="preserve">is_comparative</t>
  </si>
  <si>
    <t xml:space="preserve">NdPr</t>
  </si>
  <si>
    <t xml:space="preserve">production_volume</t>
  </si>
  <si>
    <t xml:space="preserve">ore</t>
  </si>
  <si>
    <t xml:space="preserve">contained_REO</t>
  </si>
  <si>
    <t xml:space="preserve">consolidated</t>
  </si>
  <si>
    <t xml:space="preserve">basket</t>
  </si>
  <si>
    <t xml:space="preserve">as_reported</t>
  </si>
  <si>
    <t xml:space="preserve">FY</t>
  </si>
  <si>
    <t xml:space="preserve">tonnes</t>
  </si>
  <si>
    <t xml:space="preserve">USD</t>
  </si>
  <si>
    <t xml:space="preserve">annual</t>
  </si>
  <si>
    <t xml:space="preserve">en</t>
  </si>
  <si>
    <t xml:space="preserve">high</t>
  </si>
  <si>
    <t xml:space="preserve">TRUE</t>
  </si>
  <si>
    <t xml:space="preserve">Nd</t>
  </si>
  <si>
    <t xml:space="preserve">sales_volume</t>
  </si>
  <si>
    <t xml:space="preserve">concentrate</t>
  </si>
  <si>
    <t xml:space="preserve">oxide_equivalent</t>
  </si>
  <si>
    <t xml:space="preserve">segment</t>
  </si>
  <si>
    <t xml:space="preserve">single_material</t>
  </si>
  <si>
    <t xml:space="preserve">derived</t>
  </si>
  <si>
    <t xml:space="preserve">H1</t>
  </si>
  <si>
    <t xml:space="preserve">kg</t>
  </si>
  <si>
    <t xml:space="preserve">AUD</t>
  </si>
  <si>
    <t xml:space="preserve">financial</t>
  </si>
  <si>
    <t xml:space="preserve">zh</t>
  </si>
  <si>
    <t xml:space="preserve">low</t>
  </si>
  <si>
    <t xml:space="preserve">FALSE</t>
  </si>
  <si>
    <t xml:space="preserve">Pr</t>
  </si>
  <si>
    <t xml:space="preserve">revenue</t>
  </si>
  <si>
    <t xml:space="preserve">oxide</t>
  </si>
  <si>
    <t xml:space="preserve">gross_weight</t>
  </si>
  <si>
    <t xml:space="preserve">subsidiary</t>
  </si>
  <si>
    <t xml:space="preserve">contract</t>
  </si>
  <si>
    <t xml:space="preserve">H2</t>
  </si>
  <si>
    <t xml:space="preserve">RMB</t>
  </si>
  <si>
    <t xml:space="preserve">quarterly</t>
  </si>
  <si>
    <t xml:space="preserve">other</t>
  </si>
  <si>
    <t xml:space="preserve">Dy</t>
  </si>
  <si>
    <t xml:space="preserve">avg_selling_price</t>
  </si>
  <si>
    <t xml:space="preserve">metal</t>
  </si>
  <si>
    <t xml:space="preserve">dry_weight</t>
  </si>
  <si>
    <t xml:space="preserve">site</t>
  </si>
  <si>
    <t xml:space="preserve">floor_supported</t>
  </si>
  <si>
    <t xml:space="preserve">Q1</t>
  </si>
  <si>
    <t xml:space="preserve">INR</t>
  </si>
  <si>
    <t xml:space="preserve">agency</t>
  </si>
  <si>
    <t xml:space="preserve">Tb</t>
  </si>
  <si>
    <t xml:space="preserve">purchase_price</t>
  </si>
  <si>
    <t xml:space="preserve">alloy</t>
  </si>
  <si>
    <t xml:space="preserve">country</t>
  </si>
  <si>
    <t xml:space="preserve">Q2</t>
  </si>
  <si>
    <t xml:space="preserve">CAD</t>
  </si>
  <si>
    <t xml:space="preserve">technical_report</t>
  </si>
  <si>
    <t xml:space="preserve">Ce</t>
  </si>
  <si>
    <t xml:space="preserve">inventory_volume</t>
  </si>
  <si>
    <t xml:space="preserve">sintered_magnet</t>
  </si>
  <si>
    <t xml:space="preserve">global</t>
  </si>
  <si>
    <t xml:space="preserve">Q3</t>
  </si>
  <si>
    <t xml:space="preserve">none</t>
  </si>
  <si>
    <t xml:space="preserve">La</t>
  </si>
  <si>
    <t xml:space="preserve">capacity</t>
  </si>
  <si>
    <t xml:space="preserve">Q4</t>
  </si>
  <si>
    <t xml:space="preserve">USD_per_tonne</t>
  </si>
  <si>
    <t xml:space="preserve">Sm</t>
  </si>
  <si>
    <t xml:space="preserve">grams_per_kg</t>
  </si>
  <si>
    <t xml:space="preserve">CY</t>
  </si>
  <si>
    <t xml:space="preserve">USD_per_kg</t>
  </si>
  <si>
    <t xml:space="preserve">Gd</t>
  </si>
  <si>
    <t xml:space="preserve">composition_pct</t>
  </si>
  <si>
    <t xml:space="preserve">multi_year</t>
  </si>
  <si>
    <t xml:space="preserve">AUD_per_kg</t>
  </si>
  <si>
    <t xml:space="preserve">total_REO</t>
  </si>
  <si>
    <t xml:space="preserve">reserve_tonnage</t>
  </si>
  <si>
    <t xml:space="preserve">RMB_per_tonne</t>
  </si>
  <si>
    <t xml:space="preserve">NdFeB</t>
  </si>
  <si>
    <t xml:space="preserve">grade_pct</t>
  </si>
  <si>
    <t xml:space="preserve">RMB_per_kg</t>
  </si>
  <si>
    <t xml:space="preserve">mixed_REC</t>
  </si>
  <si>
    <t xml:space="preserve">intersegment_elimination</t>
  </si>
  <si>
    <t xml:space="preserve">INR_per_kg</t>
  </si>
  <si>
    <t xml:space="preserve">non_revenue_income</t>
  </si>
  <si>
    <t xml:space="preserve">g_per_kg</t>
  </si>
  <si>
    <t xml:space="preserve">percent</t>
  </si>
  <si>
    <t xml:space="preserve">Vocabulary extended in v4: metric += intersegment_elimination (GT15), non_revenue_income (GT20); material += not_applicable (GT16, GT17 - totals spanning all products). Dropdown ranges extended to match.</t>
  </si>
  <si>
    <t xml:space="preserve">Add them to the metric column yourself, then extend the dropdown range. Extending the vocabulary is correct; free-typing into a row is not.</t>
  </si>
  <si>
    <t xml:space="preserve">row_id</t>
  </si>
  <si>
    <t xml:space="preserve">entity</t>
  </si>
  <si>
    <t xml:space="preserve">period_end_date</t>
  </si>
  <si>
    <t xml:space="preserve">value_reported</t>
  </si>
  <si>
    <t xml:space="preserve">scale_factor</t>
  </si>
  <si>
    <t xml:space="preserve">value_base</t>
  </si>
  <si>
    <t xml:space="preserve">derived_from</t>
  </si>
  <si>
    <t xml:space="preserve">source_document</t>
  </si>
  <si>
    <t xml:space="preserve">raw_text</t>
  </si>
  <si>
    <t xml:space="preserve">notes</t>
  </si>
  <si>
    <t xml:space="preserve">MP Materials</t>
  </si>
  <si>
    <t xml:space="preserve">Materials</t>
  </si>
  <si>
    <t xml:space="preserve">2025-12-31</t>
  </si>
  <si>
    <t xml:space="preserve">mp-materials_10k_FY2025.pdf</t>
  </si>
  <si>
    <t xml:space="preserve">$ 41,992</t>
  </si>
  <si>
    <t xml:space="preserve">Table header 'in thousands'. Concentrate is sold only by the Materials segment, so the consolidated product line equals the segment figure. Pairs with GT05/GT07.</t>
  </si>
  <si>
    <t xml:space="preserve">2024-12-31</t>
  </si>
  <si>
    <t xml:space="preserve">$ 144,363</t>
  </si>
  <si>
    <t xml:space="preserve">Prior-year comparative inside the FY2025 filing. Not yet checked against the FY2024 10-K's own figure (restatement check pending).</t>
  </si>
  <si>
    <t xml:space="preserve">2023-12-31</t>
  </si>
  <si>
    <t xml:space="preserve">$ 252,468</t>
  </si>
  <si>
    <t xml:space="preserve">Comparative. Not yet checked against the FY2023 10-K.</t>
  </si>
  <si>
    <t xml:space="preserve">PRODUCTION, not sales. MT of contained REO (p.43). Only 8,922 sold (GT05): concentrate sales to China ceased July 2025 and most output was refined internally into NdPr. Not a stockpile.</t>
  </si>
  <si>
    <t xml:space="preserve">MT of contained REO, not physical concentrate. Grade &gt;60% REO per dry MT (p.43), so physical weight is materially higher. Do not compare with customs tonnage without regrading.</t>
  </si>
  <si>
    <t xml:space="preserve">Comparative. Contained-REO basis as GT05.</t>
  </si>
  <si>
    <t xml:space="preserve">$ 4,707</t>
  </si>
  <si>
    <t xml:space="preserve">BASKET price across the whole REO mix incl. ~50% Ce and ~32% La (GT19). Never chart against an NdPr price. Issuer computes it as concentrate revenue / REO sales volume (p.43) but prints it, so as_reported. KPI table is 'in whole units' -&gt; scale 1. Series discontinued after FY2025.</t>
  </si>
  <si>
    <t xml:space="preserve">$ 6,854</t>
  </si>
  <si>
    <t xml:space="preserve">Comparative. Basket price, as GT07.</t>
  </si>
  <si>
    <t xml:space="preserve">BLENDED line 'NdPr oxide and metal' spans two chain stages; no honest single chain_stage. Project decision: oxide + oxide_equivalent + low confidence. Gross of the 2,789 intersegment elimination (GT15); includes Q4 2025 sales to Magnetics. Pair only with GT12, never net GT15 out of this alone.</t>
  </si>
  <si>
    <t xml:space="preserve">Comparative. In thousands: this is USD 695,000, not USD 695. Same blended line as GT09. Pairs with GT13 (10 MT) - any price derived from this pair is meaningless.</t>
  </si>
  <si>
    <t xml:space="preserve">Per p.43 this is finished, packaged NdPr OXIDE actually produced - physical tonnes of product, hence gross_weight. NOT the same basis as NdPr Sales Volume (GT12, oxide-equivalent). Production not sales.</t>
  </si>
  <si>
    <t xml:space="preserve">Oxide-equivalent: metal sales converted at an ASSUMED 1.20 ratio (100 MT metal = 120 MT here), so partly a modelling assumption. From Q4 2025 includes intercompany sales to Magnetics (p.43).</t>
  </si>
  <si>
    <t xml:space="preserve">Comparative. Real figure but separation was only starting up. Any price derived from it (GT10/GT13) is meaningless as a market signal.</t>
  </si>
  <si>
    <t xml:space="preserve">Magnetics</t>
  </si>
  <si>
    <t xml:space="preserve">MAGNETICS segment. NdPr metal from the Independence Facility sold to GM. No volume disclosed -&gt; no implied price derivable. Recognised under a bill-and-hold arrangement (Note 16, printed p.96): GM owns it, MP still holds it.</t>
  </si>
  <si>
    <t xml:space="preserve">Negative: printed in parentheses. Footnote: elimination of NdPr oxide sold by Materials to Magnetics. Exists only at consolidated level. New metric added to lists.</t>
  </si>
  <si>
    <t xml:space="preserve">$ 224,441</t>
  </si>
  <si>
    <t xml:space="preserve">CONSOLIDATED total across all products. Pair against GT17. Bridge: 160,369 + 66,861 - 2,789 = 224,441 (ties exactly). Never divide by a segment volume.</t>
  </si>
  <si>
    <t xml:space="preserve">Materials SEGMENT total, from Note 16 Revenue Recognition (printed p.96; project notes wrongly call this the segment note). Also on printed p.49. USD 64m below GT16: pairing segment volume with GT16 overstates price ~40%.</t>
  </si>
  <si>
    <t xml:space="preserve">15.7 %</t>
  </si>
  <si>
    <t xml:space="preserve">Convention: stored as percentage points (15.7, not 0.157). Estimated share of TREO content in Mountain Pass concentrate; 'natural distribution', stable over time. Same figure recurs on printed pp.32 and 34 inside reserve assumptions - cite the table on p.29.</t>
  </si>
  <si>
    <t xml:space="preserve">50.2 %</t>
  </si>
  <si>
    <t xml:space="preserve">Half the REO is near-worthless cerium - the reason basket prices (GT07/GT08) mislead. Percentage points, as GT18.</t>
  </si>
  <si>
    <t xml:space="preserve">$ 51,016</t>
  </si>
  <si>
    <t xml:space="preserve">Price Protection Agreement income, booked OUTSIDE revenue. PPA ($110/kg NdPr floor from 1 Oct 2025) pays on NdPr products sold OR produced and stockpiled - a different volume base from GT12, so do not add it to GT09 and divide. New metric added to lists.</t>
  </si>
  <si>
    <t xml:space="preserve">Live checks - all should read 0 (or PASS) before you send the file</t>
  </si>
  <si>
    <t xml:space="preserve">#</t>
  </si>
  <si>
    <t xml:space="preserve">Check</t>
  </si>
  <si>
    <t xml:space="preserve">Result</t>
  </si>
  <si>
    <t xml:space="preserve">Verdict</t>
  </si>
  <si>
    <t xml:space="preserve">What to do if it fires</t>
  </si>
  <si>
    <t xml:space="preserve">Rows in tonnes or kg with blank basis</t>
  </si>
  <si>
    <t xml:space="preserve">Concentrate rows are contained_REO. NdPr rows are oxide_equivalent. Never not_applicable for a tonnage.</t>
  </si>
  <si>
    <t xml:space="preserve">Volume rows not marked entity_scope = segment</t>
  </si>
  <si>
    <t xml:space="preserve">Every volume KPI in this filing is Materials segment. Check the heading above the table.</t>
  </si>
  <si>
    <t xml:space="preserve">Non-FY2025 rows not marked is_comparative = TRUE (period not_applicable excluded)</t>
  </si>
  <si>
    <t xml:space="preserve">A FY2024 figure inside a FY2025 filing is a comparative. period changes, source_document does not.</t>
  </si>
  <si>
    <t xml:space="preserve">Rows marked derivation = derived</t>
  </si>
  <si>
    <t xml:space="preserve">All 20 are copied, not calculated. If you did arithmetic, you left the ground truth and entered analysis.</t>
  </si>
  <si>
    <t xml:space="preserve">as_reported rows with empty raw_text</t>
  </si>
  <si>
    <t xml:space="preserve">raw_text is not optional. Copy the string exactly as printed, including $ and commas.</t>
  </si>
  <si>
    <t xml:space="preserve">Revenue rows with value_base under 100,000 (missed scale)</t>
  </si>
  <si>
    <t xml:space="preserve">A revenue line printed 'in thousands' needs scale_factor 1000. GT10 (695) is the one most likely to trip this.</t>
  </si>
  <si>
    <t xml:space="preserve">unit says USD_per_* but currency is not USD</t>
  </si>
  <si>
    <t xml:space="preserve">unit and currency must agree where unit names a currency.</t>
  </si>
  <si>
    <t xml:space="preserve">total_REO priced as single_material</t>
  </si>
  <si>
    <t xml:space="preserve">A price covering the whole REO mix is a basket price.</t>
  </si>
  <si>
    <t xml:space="preserve">Targets from worklist still unfilled</t>
  </si>
  <si>
    <t xml:space="preserve">Counts worklist column B = "yes". Mark each target yes once its GT row is in ground_truth.</t>
  </si>
  <si>
    <t xml:space="preserve">Arithmetic reconciliation (GT01 / GT05 should equal GT07)</t>
  </si>
  <si>
    <t xml:space="preserve">Concentrate revenue FY2025, base units</t>
  </si>
  <si>
    <t xml:space="preserve">REO sales volume FY2025, tonnes</t>
  </si>
  <si>
    <t xml:space="preserve">Implied price, USD per tonne</t>
  </si>
  <si>
    <t xml:space="preserve">Stated realized price FY2025 (GT07)</t>
  </si>
  <si>
    <t xml:space="preserve">Difference</t>
  </si>
  <si>
    <t xml:space="preserve">Should be under 0.01%. If it is not, one of GT01, GT05 or GT07 has a scale_factor error.</t>
  </si>
  <si>
    <t xml:space="preserve">EXAMPLE</t>
  </si>
  <si>
    <t xml:space="preserve">Format reference only. This is GT01 worked out. Do not copy it into ground_truth - build it yourself from p.88 so you see where every field comes from.</t>
  </si>
  <si>
    <t xml:space="preserve">period_covered</t>
  </si>
  <si>
    <t xml:space="preserve">url</t>
  </si>
  <si>
    <t xml:space="preserve">accession_or_id</t>
  </si>
  <si>
    <t xml:space="preserve">retrieved_date</t>
  </si>
  <si>
    <t xml:space="preserve">pages</t>
  </si>
  <si>
    <t xml:space="preserve">has_text_layer</t>
  </si>
  <si>
    <t xml:space="preserve">FY2023-FY2025</t>
  </si>
  <si>
    <t xml:space="preserve">https://www.sec.gov/Archives/edgar/data/1801368/000180136826000008/mp-20251231.htm</t>
  </si>
  <si>
    <t xml:space="preserve">0001801368-26-000008</t>
  </si>
  <si>
    <t xml:space="preserve">YES</t>
  </si>
  <si>
    <t xml:space="preserve">Original Workiva PDF (producer: Wdesk Fidelity Content Translations), real text layer, 121 pages. Replaces the earlier browser Print-to-PDF copy (221 rasterised pages). pdf_page = printed_page + 4 throughout. retrieved_date left blank: fill with your actual download date. SHA-256: c28ed1338d6ff136b8de06ad6ef768613dec44968cb88e4e00db9779b0f104a1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</si>
</sst>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General"/>
    <numFmt numFmtId="168" formatCode="#,##0.0"/>
    <numFmt numFmtId="169" formatCode="0.0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AF1DD"/>
      </patternFill>
    </fill>
    <fill>
      <patternFill patternType="solid">
        <fgColor rgb="FFEAF1DD"/>
        <bgColor rgb="FFFFF2CC"/>
      </patternFill>
    </fill>
    <fill>
      <patternFill patternType="solid">
        <fgColor rgb="FFD9D9D9"/>
        <bgColor rgb="FFEAF1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AF1DD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1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5" activeCellId="0" sqref="A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10"/>
  </cols>
  <sheetData>
    <row r="1" customFormat="false" ht="16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/>
    </row>
    <row r="23" customFormat="false" ht="15" hidden="false" customHeight="true" outlineLevel="0" collapsed="false">
      <c r="A23" s="4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/>
    </row>
    <row r="28" customFormat="false" ht="15" hidden="false" customHeight="true" outlineLevel="0" collapsed="false">
      <c r="A28" s="4" t="s">
        <v>22</v>
      </c>
    </row>
    <row r="29" customFormat="false" ht="15" hidden="false" customHeight="true" outlineLevel="0" collapsed="false">
      <c r="A29" s="3" t="s">
        <v>23</v>
      </c>
    </row>
    <row r="30" customFormat="false" ht="15" hidden="false" customHeight="true" outlineLevel="0" collapsed="false">
      <c r="A30" s="3" t="s">
        <v>24</v>
      </c>
    </row>
    <row r="31" customFormat="false" ht="15" hidden="false" customHeight="true" outlineLevel="0" collapsed="false">
      <c r="A31" s="3" t="s">
        <v>25</v>
      </c>
    </row>
    <row r="32" customFormat="false" ht="15" hidden="false" customHeight="true" outlineLevel="0" collapsed="false">
      <c r="A32" s="3" t="s">
        <v>26</v>
      </c>
    </row>
    <row r="33" customFormat="false" ht="15" hidden="false" customHeight="true" outlineLevel="0" collapsed="false">
      <c r="A33" s="3" t="s">
        <v>27</v>
      </c>
    </row>
    <row r="34" customFormat="false" ht="15" hidden="false" customHeight="true" outlineLevel="0" collapsed="false">
      <c r="A34" s="3"/>
    </row>
    <row r="35" customFormat="false" ht="15" hidden="false" customHeight="true" outlineLevel="0" collapsed="false">
      <c r="A35" s="3" t="s">
        <v>28</v>
      </c>
    </row>
    <row r="36" customFormat="false" ht="15" hidden="false" customHeight="true" outlineLevel="0" collapsed="false">
      <c r="A36" s="3" t="s">
        <v>29</v>
      </c>
    </row>
    <row r="37" customFormat="false" ht="15" hidden="false" customHeight="true" outlineLevel="0" collapsed="false">
      <c r="A37" s="3" t="s">
        <v>30</v>
      </c>
    </row>
    <row r="38" customFormat="false" ht="15" hidden="false" customHeight="true" outlineLevel="0" collapsed="false">
      <c r="A38" s="3"/>
    </row>
    <row r="39" customFormat="false" ht="15" hidden="false" customHeight="true" outlineLevel="0" collapsed="false">
      <c r="A39" s="4" t="s">
        <v>31</v>
      </c>
    </row>
    <row r="40" customFormat="false" ht="15" hidden="false" customHeight="true" outlineLevel="0" collapsed="false">
      <c r="A40" s="3" t="s">
        <v>32</v>
      </c>
    </row>
    <row r="41" customFormat="false" ht="15" hidden="false" customHeight="true" outlineLevel="0" collapsed="false">
      <c r="A41" s="3" t="s">
        <v>33</v>
      </c>
    </row>
    <row r="42" customFormat="false" ht="15" hidden="false" customHeight="true" outlineLevel="0" collapsed="false">
      <c r="A42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23" zoomScaleNormal="123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18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76"/>
  </cols>
  <sheetData>
    <row r="1" customFormat="false" ht="25.5" hidden="false" customHeight="true" outlineLevel="0" collapsed="false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</row>
    <row r="2" customFormat="false" ht="15" hidden="false" customHeight="tru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6" t="n">
        <v>48</v>
      </c>
      <c r="G2" s="6" t="n">
        <v>44</v>
      </c>
      <c r="H2" s="7" t="s">
        <v>48</v>
      </c>
    </row>
    <row r="3" customFormat="false" ht="25.5" hidden="false" customHeight="true" outlineLevel="0" collapsed="false">
      <c r="A3" s="6" t="s">
        <v>49</v>
      </c>
      <c r="B3" s="6" t="s">
        <v>44</v>
      </c>
      <c r="C3" s="6" t="s">
        <v>50</v>
      </c>
      <c r="D3" s="6" t="s">
        <v>46</v>
      </c>
      <c r="E3" s="6" t="s">
        <v>51</v>
      </c>
      <c r="F3" s="6" t="n">
        <v>48</v>
      </c>
      <c r="G3" s="6" t="n">
        <v>44</v>
      </c>
      <c r="H3" s="7" t="s">
        <v>52</v>
      </c>
    </row>
    <row r="4" customFormat="false" ht="15" hidden="false" customHeight="true" outlineLevel="0" collapsed="false">
      <c r="A4" s="6" t="s">
        <v>53</v>
      </c>
      <c r="B4" s="6" t="s">
        <v>44</v>
      </c>
      <c r="C4" s="6" t="s">
        <v>54</v>
      </c>
      <c r="D4" s="6" t="s">
        <v>46</v>
      </c>
      <c r="E4" s="6" t="s">
        <v>55</v>
      </c>
      <c r="F4" s="6" t="n">
        <v>48</v>
      </c>
      <c r="G4" s="6" t="n">
        <v>44</v>
      </c>
      <c r="H4" s="7" t="s">
        <v>56</v>
      </c>
    </row>
    <row r="5" customFormat="false" ht="15" hidden="false" customHeight="true" outlineLevel="0" collapsed="false">
      <c r="A5" s="6" t="s">
        <v>57</v>
      </c>
      <c r="B5" s="6" t="s">
        <v>44</v>
      </c>
      <c r="C5" s="6" t="s">
        <v>58</v>
      </c>
      <c r="D5" s="6" t="s">
        <v>59</v>
      </c>
      <c r="E5" s="6" t="s">
        <v>47</v>
      </c>
      <c r="F5" s="6" t="n">
        <v>53</v>
      </c>
      <c r="G5" s="6" t="n">
        <v>49</v>
      </c>
      <c r="H5" s="7" t="s">
        <v>60</v>
      </c>
    </row>
    <row r="6" customFormat="false" ht="25.5" hidden="false" customHeight="true" outlineLevel="0" collapsed="false">
      <c r="A6" s="6" t="s">
        <v>61</v>
      </c>
      <c r="B6" s="6" t="s">
        <v>44</v>
      </c>
      <c r="C6" s="6" t="s">
        <v>62</v>
      </c>
      <c r="D6" s="6" t="s">
        <v>63</v>
      </c>
      <c r="E6" s="6" t="s">
        <v>47</v>
      </c>
      <c r="F6" s="6" t="n">
        <v>53</v>
      </c>
      <c r="G6" s="6" t="n">
        <v>49</v>
      </c>
      <c r="H6" s="7" t="s">
        <v>64</v>
      </c>
    </row>
    <row r="7" customFormat="false" ht="15" hidden="false" customHeight="true" outlineLevel="0" collapsed="false">
      <c r="A7" s="6" t="s">
        <v>65</v>
      </c>
      <c r="B7" s="6" t="s">
        <v>44</v>
      </c>
      <c r="C7" s="6" t="s">
        <v>66</v>
      </c>
      <c r="D7" s="6" t="s">
        <v>63</v>
      </c>
      <c r="E7" s="6" t="s">
        <v>51</v>
      </c>
      <c r="F7" s="6" t="n">
        <v>53</v>
      </c>
      <c r="G7" s="6" t="n">
        <v>49</v>
      </c>
      <c r="H7" s="7" t="s">
        <v>67</v>
      </c>
    </row>
    <row r="8" customFormat="false" ht="25.5" hidden="false" customHeight="true" outlineLevel="0" collapsed="false">
      <c r="A8" s="6" t="s">
        <v>68</v>
      </c>
      <c r="B8" s="6" t="s">
        <v>44</v>
      </c>
      <c r="C8" s="6" t="s">
        <v>69</v>
      </c>
      <c r="D8" s="6" t="s">
        <v>70</v>
      </c>
      <c r="E8" s="6" t="s">
        <v>47</v>
      </c>
      <c r="F8" s="6" t="n">
        <v>53</v>
      </c>
      <c r="G8" s="6" t="n">
        <v>49</v>
      </c>
      <c r="H8" s="7" t="s">
        <v>71</v>
      </c>
    </row>
    <row r="9" customFormat="false" ht="15" hidden="false" customHeight="true" outlineLevel="0" collapsed="false">
      <c r="A9" s="6" t="s">
        <v>72</v>
      </c>
      <c r="B9" s="6" t="s">
        <v>44</v>
      </c>
      <c r="C9" s="6" t="s">
        <v>73</v>
      </c>
      <c r="D9" s="6" t="s">
        <v>70</v>
      </c>
      <c r="E9" s="6" t="s">
        <v>55</v>
      </c>
      <c r="F9" s="6" t="n">
        <v>53</v>
      </c>
      <c r="G9" s="6" t="n">
        <v>49</v>
      </c>
      <c r="H9" s="7" t="s">
        <v>74</v>
      </c>
    </row>
    <row r="10" customFormat="false" ht="25.5" hidden="false" customHeight="true" outlineLevel="0" collapsed="false">
      <c r="A10" s="6" t="s">
        <v>75</v>
      </c>
      <c r="B10" s="6" t="s">
        <v>44</v>
      </c>
      <c r="C10" s="6" t="s">
        <v>76</v>
      </c>
      <c r="D10" s="6" t="s">
        <v>77</v>
      </c>
      <c r="E10" s="6" t="s">
        <v>47</v>
      </c>
      <c r="F10" s="6" t="n">
        <v>48</v>
      </c>
      <c r="G10" s="6" t="n">
        <v>44</v>
      </c>
      <c r="H10" s="7" t="s">
        <v>78</v>
      </c>
    </row>
    <row r="11" customFormat="false" ht="15" hidden="false" customHeight="true" outlineLevel="0" collapsed="false">
      <c r="A11" s="6" t="s">
        <v>79</v>
      </c>
      <c r="B11" s="6" t="s">
        <v>44</v>
      </c>
      <c r="C11" s="6" t="s">
        <v>80</v>
      </c>
      <c r="D11" s="6" t="s">
        <v>77</v>
      </c>
      <c r="E11" s="6" t="s">
        <v>55</v>
      </c>
      <c r="F11" s="6" t="n">
        <v>48</v>
      </c>
      <c r="G11" s="6" t="n">
        <v>44</v>
      </c>
      <c r="H11" s="7" t="s">
        <v>81</v>
      </c>
    </row>
    <row r="12" customFormat="false" ht="15" hidden="false" customHeight="true" outlineLevel="0" collapsed="false">
      <c r="A12" s="6" t="s">
        <v>82</v>
      </c>
      <c r="B12" s="6" t="s">
        <v>44</v>
      </c>
      <c r="C12" s="6" t="s">
        <v>83</v>
      </c>
      <c r="D12" s="6" t="s">
        <v>84</v>
      </c>
      <c r="E12" s="6" t="s">
        <v>47</v>
      </c>
      <c r="F12" s="6" t="n">
        <v>53</v>
      </c>
      <c r="G12" s="6" t="n">
        <v>49</v>
      </c>
      <c r="H12" s="7" t="s">
        <v>85</v>
      </c>
    </row>
    <row r="13" customFormat="false" ht="25.5" hidden="false" customHeight="true" outlineLevel="0" collapsed="false">
      <c r="A13" s="6" t="s">
        <v>86</v>
      </c>
      <c r="B13" s="6" t="s">
        <v>44</v>
      </c>
      <c r="C13" s="6" t="s">
        <v>87</v>
      </c>
      <c r="D13" s="6" t="s">
        <v>88</v>
      </c>
      <c r="E13" s="6" t="s">
        <v>47</v>
      </c>
      <c r="F13" s="6" t="n">
        <v>53</v>
      </c>
      <c r="G13" s="6" t="n">
        <v>49</v>
      </c>
      <c r="H13" s="7" t="s">
        <v>89</v>
      </c>
    </row>
    <row r="14" customFormat="false" ht="25.5" hidden="false" customHeight="true" outlineLevel="0" collapsed="false">
      <c r="A14" s="6" t="s">
        <v>90</v>
      </c>
      <c r="B14" s="6" t="s">
        <v>44</v>
      </c>
      <c r="C14" s="6" t="s">
        <v>91</v>
      </c>
      <c r="D14" s="6" t="s">
        <v>88</v>
      </c>
      <c r="E14" s="6" t="s">
        <v>55</v>
      </c>
      <c r="F14" s="6" t="n">
        <v>53</v>
      </c>
      <c r="G14" s="6" t="n">
        <v>49</v>
      </c>
      <c r="H14" s="7" t="s">
        <v>92</v>
      </c>
    </row>
    <row r="15" customFormat="false" ht="25.5" hidden="false" customHeight="true" outlineLevel="0" collapsed="false">
      <c r="A15" s="6" t="s">
        <v>93</v>
      </c>
      <c r="B15" s="6" t="s">
        <v>44</v>
      </c>
      <c r="C15" s="6" t="s">
        <v>94</v>
      </c>
      <c r="D15" s="6" t="s">
        <v>95</v>
      </c>
      <c r="E15" s="6" t="s">
        <v>47</v>
      </c>
      <c r="F15" s="6" t="n">
        <v>48</v>
      </c>
      <c r="G15" s="6" t="n">
        <v>44</v>
      </c>
      <c r="H15" s="7" t="s">
        <v>96</v>
      </c>
    </row>
    <row r="16" customFormat="false" ht="25.5" hidden="false" customHeight="true" outlineLevel="0" collapsed="false">
      <c r="A16" s="6" t="s">
        <v>97</v>
      </c>
      <c r="B16" s="6" t="s">
        <v>44</v>
      </c>
      <c r="C16" s="6" t="s">
        <v>98</v>
      </c>
      <c r="D16" s="6" t="s">
        <v>99</v>
      </c>
      <c r="E16" s="6" t="s">
        <v>47</v>
      </c>
      <c r="F16" s="6" t="n">
        <v>48</v>
      </c>
      <c r="G16" s="6" t="n">
        <v>44</v>
      </c>
      <c r="H16" s="7" t="s">
        <v>100</v>
      </c>
    </row>
    <row r="17" customFormat="false" ht="15" hidden="false" customHeight="true" outlineLevel="0" collapsed="false">
      <c r="A17" s="6" t="s">
        <v>101</v>
      </c>
      <c r="B17" s="6" t="s">
        <v>44</v>
      </c>
      <c r="C17" s="6" t="s">
        <v>102</v>
      </c>
      <c r="D17" s="6" t="s">
        <v>103</v>
      </c>
      <c r="E17" s="6" t="s">
        <v>47</v>
      </c>
      <c r="F17" s="6" t="n">
        <v>48</v>
      </c>
      <c r="G17" s="6" t="n">
        <v>44</v>
      </c>
      <c r="H17" s="7" t="s">
        <v>104</v>
      </c>
    </row>
    <row r="18" customFormat="false" ht="25.5" hidden="false" customHeight="true" outlineLevel="0" collapsed="false">
      <c r="A18" s="6" t="s">
        <v>105</v>
      </c>
      <c r="B18" s="6" t="s">
        <v>44</v>
      </c>
      <c r="C18" s="6" t="s">
        <v>106</v>
      </c>
      <c r="D18" s="6" t="s">
        <v>107</v>
      </c>
      <c r="E18" s="6" t="s">
        <v>47</v>
      </c>
      <c r="F18" s="6" t="n">
        <v>100</v>
      </c>
      <c r="G18" s="6" t="n">
        <v>96</v>
      </c>
      <c r="H18" s="7" t="s">
        <v>108</v>
      </c>
    </row>
    <row r="19" customFormat="false" ht="25.5" hidden="false" customHeight="true" outlineLevel="0" collapsed="false">
      <c r="A19" s="6" t="s">
        <v>109</v>
      </c>
      <c r="B19" s="6" t="s">
        <v>44</v>
      </c>
      <c r="C19" s="6" t="s">
        <v>110</v>
      </c>
      <c r="D19" s="6" t="s">
        <v>111</v>
      </c>
      <c r="E19" s="6" t="s">
        <v>112</v>
      </c>
      <c r="F19" s="6" t="n">
        <v>33</v>
      </c>
      <c r="G19" s="6" t="n">
        <v>29</v>
      </c>
      <c r="H19" s="7" t="s">
        <v>113</v>
      </c>
    </row>
    <row r="20" customFormat="false" ht="25.5" hidden="false" customHeight="true" outlineLevel="0" collapsed="false">
      <c r="A20" s="6" t="s">
        <v>114</v>
      </c>
      <c r="B20" s="6" t="s">
        <v>44</v>
      </c>
      <c r="C20" s="6" t="s">
        <v>115</v>
      </c>
      <c r="D20" s="6" t="s">
        <v>116</v>
      </c>
      <c r="E20" s="6" t="s">
        <v>112</v>
      </c>
      <c r="F20" s="6" t="n">
        <v>33</v>
      </c>
      <c r="G20" s="6" t="n">
        <v>29</v>
      </c>
      <c r="H20" s="7" t="s">
        <v>117</v>
      </c>
    </row>
    <row r="21" customFormat="false" ht="15" hidden="false" customHeight="true" outlineLevel="0" collapsed="false">
      <c r="A21" s="6" t="s">
        <v>118</v>
      </c>
      <c r="B21" s="6" t="s">
        <v>44</v>
      </c>
      <c r="C21" s="6" t="s">
        <v>119</v>
      </c>
      <c r="D21" s="6" t="s">
        <v>120</v>
      </c>
      <c r="E21" s="6" t="s">
        <v>47</v>
      </c>
      <c r="F21" s="6" t="n">
        <v>53</v>
      </c>
      <c r="G21" s="6" t="n">
        <v>49</v>
      </c>
      <c r="H21" s="7" t="s">
        <v>121</v>
      </c>
    </row>
    <row r="22" customFormat="false" ht="15" hidden="false" customHeight="true" outlineLevel="0" collapsed="false">
      <c r="A22" s="1" t="s">
        <v>122</v>
      </c>
    </row>
    <row r="23" customFormat="false" ht="15" hidden="false" customHeight="true" outlineLevel="0" collapsed="false">
      <c r="A23" s="8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7" min="1" style="1" width="15"/>
    <col collapsed="false" customWidth="true" hidden="false" outlineLevel="0" max="8" min="8" style="1" width="21"/>
    <col collapsed="false" customWidth="true" hidden="false" outlineLevel="0" max="13" min="9" style="1" width="15"/>
    <col collapsed="false" customWidth="true" hidden="false" outlineLevel="0" max="14" min="14" style="1" width="17"/>
  </cols>
  <sheetData>
    <row r="1" customFormat="false" ht="15" hidden="false" customHeight="true" outlineLevel="0" collapsed="false">
      <c r="A1" s="5" t="s">
        <v>124</v>
      </c>
      <c r="B1" s="5" t="s">
        <v>125</v>
      </c>
      <c r="C1" s="5" t="s">
        <v>126</v>
      </c>
      <c r="D1" s="5" t="s">
        <v>127</v>
      </c>
      <c r="E1" s="5" t="s">
        <v>128</v>
      </c>
      <c r="F1" s="5" t="s">
        <v>129</v>
      </c>
      <c r="G1" s="5" t="s">
        <v>130</v>
      </c>
      <c r="H1" s="5" t="s">
        <v>131</v>
      </c>
      <c r="I1" s="5" t="s">
        <v>132</v>
      </c>
      <c r="J1" s="5" t="s">
        <v>133</v>
      </c>
      <c r="K1" s="5" t="s">
        <v>134</v>
      </c>
      <c r="L1" s="5" t="s">
        <v>135</v>
      </c>
      <c r="M1" s="5" t="s">
        <v>136</v>
      </c>
      <c r="N1" s="5" t="s">
        <v>137</v>
      </c>
    </row>
    <row r="2" customFormat="false" ht="15" hidden="false" customHeight="true" outlineLevel="0" collapsed="false">
      <c r="A2" s="3" t="s">
        <v>138</v>
      </c>
      <c r="B2" s="3" t="s">
        <v>139</v>
      </c>
      <c r="C2" s="3" t="s">
        <v>140</v>
      </c>
      <c r="D2" s="3" t="s">
        <v>141</v>
      </c>
      <c r="E2" s="3" t="s">
        <v>142</v>
      </c>
      <c r="F2" s="3" t="s">
        <v>143</v>
      </c>
      <c r="G2" s="3" t="s">
        <v>144</v>
      </c>
      <c r="H2" s="3" t="s">
        <v>145</v>
      </c>
      <c r="I2" s="3" t="s">
        <v>146</v>
      </c>
      <c r="J2" s="3" t="s">
        <v>147</v>
      </c>
      <c r="K2" s="3" t="s">
        <v>148</v>
      </c>
      <c r="L2" s="3" t="s">
        <v>149</v>
      </c>
      <c r="M2" s="3" t="s">
        <v>150</v>
      </c>
      <c r="N2" s="3" t="s">
        <v>151</v>
      </c>
    </row>
    <row r="3" customFormat="false" ht="15" hidden="false" customHeight="true" outlineLevel="0" collapsed="false">
      <c r="A3" s="3" t="s">
        <v>152</v>
      </c>
      <c r="B3" s="3" t="s">
        <v>153</v>
      </c>
      <c r="C3" s="3" t="s">
        <v>154</v>
      </c>
      <c r="D3" s="3" t="s">
        <v>155</v>
      </c>
      <c r="E3" s="3" t="s">
        <v>156</v>
      </c>
      <c r="F3" s="3" t="s">
        <v>157</v>
      </c>
      <c r="G3" s="3" t="s">
        <v>158</v>
      </c>
      <c r="H3" s="3" t="s">
        <v>159</v>
      </c>
      <c r="I3" s="3" t="s">
        <v>160</v>
      </c>
      <c r="J3" s="3" t="s">
        <v>161</v>
      </c>
      <c r="K3" s="3" t="s">
        <v>162</v>
      </c>
      <c r="L3" s="3" t="s">
        <v>163</v>
      </c>
      <c r="M3" s="3" t="s">
        <v>164</v>
      </c>
      <c r="N3" s="3" t="s">
        <v>165</v>
      </c>
    </row>
    <row r="4" customFormat="false" ht="15" hidden="false" customHeight="true" outlineLevel="0" collapsed="false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170</v>
      </c>
      <c r="F4" s="3" t="s">
        <v>171</v>
      </c>
      <c r="H4" s="3" t="s">
        <v>172</v>
      </c>
      <c r="I4" s="3" t="s">
        <v>147</v>
      </c>
      <c r="J4" s="3" t="s">
        <v>173</v>
      </c>
      <c r="K4" s="3" t="s">
        <v>174</v>
      </c>
      <c r="L4" s="3" t="s">
        <v>175</v>
      </c>
    </row>
    <row r="5" customFormat="false" ht="15" hidden="false" customHeight="true" outlineLevel="0" collapsed="false">
      <c r="A5" s="3" t="s">
        <v>176</v>
      </c>
      <c r="B5" s="3" t="s">
        <v>177</v>
      </c>
      <c r="C5" s="3" t="s">
        <v>178</v>
      </c>
      <c r="D5" s="3" t="s">
        <v>179</v>
      </c>
      <c r="E5" s="3" t="s">
        <v>180</v>
      </c>
      <c r="F5" s="3" t="s">
        <v>181</v>
      </c>
      <c r="H5" s="3" t="s">
        <v>182</v>
      </c>
      <c r="I5" s="3" t="s">
        <v>161</v>
      </c>
      <c r="J5" s="3" t="s">
        <v>183</v>
      </c>
      <c r="K5" s="3" t="s">
        <v>184</v>
      </c>
    </row>
    <row r="6" customFormat="false" ht="15" hidden="false" customHeight="true" outlineLevel="0" collapsed="false">
      <c r="A6" s="3" t="s">
        <v>185</v>
      </c>
      <c r="B6" s="3" t="s">
        <v>186</v>
      </c>
      <c r="C6" s="3" t="s">
        <v>187</v>
      </c>
      <c r="D6" s="3" t="s">
        <v>112</v>
      </c>
      <c r="E6" s="3" t="s">
        <v>188</v>
      </c>
      <c r="F6" s="3" t="s">
        <v>112</v>
      </c>
      <c r="H6" s="3" t="s">
        <v>189</v>
      </c>
      <c r="I6" s="3" t="s">
        <v>173</v>
      </c>
      <c r="J6" s="3" t="s">
        <v>190</v>
      </c>
      <c r="K6" s="3" t="s">
        <v>191</v>
      </c>
    </row>
    <row r="7" customFormat="false" ht="15" hidden="false" customHeight="true" outlineLevel="0" collapsed="false">
      <c r="A7" s="3" t="s">
        <v>192</v>
      </c>
      <c r="B7" s="3" t="s">
        <v>193</v>
      </c>
      <c r="C7" s="3" t="s">
        <v>194</v>
      </c>
      <c r="E7" s="3" t="s">
        <v>195</v>
      </c>
      <c r="H7" s="3" t="s">
        <v>196</v>
      </c>
      <c r="I7" s="3" t="s">
        <v>183</v>
      </c>
      <c r="J7" s="3" t="s">
        <v>197</v>
      </c>
    </row>
    <row r="8" customFormat="false" ht="15" hidden="false" customHeight="true" outlineLevel="0" collapsed="false">
      <c r="A8" s="3" t="s">
        <v>198</v>
      </c>
      <c r="B8" s="3" t="s">
        <v>199</v>
      </c>
      <c r="C8" s="3" t="s">
        <v>112</v>
      </c>
      <c r="H8" s="3" t="s">
        <v>200</v>
      </c>
      <c r="I8" s="3" t="s">
        <v>201</v>
      </c>
    </row>
    <row r="9" customFormat="false" ht="15" hidden="false" customHeight="true" outlineLevel="0" collapsed="false">
      <c r="A9" s="3" t="s">
        <v>202</v>
      </c>
      <c r="B9" s="3" t="s">
        <v>203</v>
      </c>
      <c r="H9" s="3" t="s">
        <v>204</v>
      </c>
      <c r="I9" s="3" t="s">
        <v>205</v>
      </c>
    </row>
    <row r="10" customFormat="false" ht="15" hidden="false" customHeight="true" outlineLevel="0" collapsed="false">
      <c r="A10" s="3" t="s">
        <v>206</v>
      </c>
      <c r="B10" s="3" t="s">
        <v>207</v>
      </c>
      <c r="H10" s="3" t="s">
        <v>208</v>
      </c>
      <c r="I10" s="3" t="s">
        <v>209</v>
      </c>
    </row>
    <row r="11" customFormat="false" ht="15" hidden="false" customHeight="true" outlineLevel="0" collapsed="false">
      <c r="A11" s="3" t="s">
        <v>210</v>
      </c>
      <c r="B11" s="3" t="s">
        <v>211</v>
      </c>
      <c r="I11" s="3" t="s">
        <v>212</v>
      </c>
    </row>
    <row r="12" customFormat="false" ht="15" hidden="false" customHeight="true" outlineLevel="0" collapsed="false">
      <c r="A12" s="3" t="s">
        <v>213</v>
      </c>
      <c r="B12" s="3" t="s">
        <v>214</v>
      </c>
      <c r="I12" s="3" t="s">
        <v>215</v>
      </c>
    </row>
    <row r="13" customFormat="false" ht="15" hidden="false" customHeight="true" outlineLevel="0" collapsed="false">
      <c r="A13" s="3" t="s">
        <v>216</v>
      </c>
      <c r="B13" s="1" t="s">
        <v>217</v>
      </c>
      <c r="I13" s="3" t="s">
        <v>218</v>
      </c>
    </row>
    <row r="14" customFormat="false" ht="15" hidden="false" customHeight="true" outlineLevel="0" collapsed="false">
      <c r="A14" s="3" t="s">
        <v>175</v>
      </c>
      <c r="B14" s="1" t="s">
        <v>219</v>
      </c>
      <c r="I14" s="3" t="s">
        <v>220</v>
      </c>
    </row>
    <row r="15" customFormat="false" ht="15" hidden="false" customHeight="true" outlineLevel="0" collapsed="false">
      <c r="A15" s="1" t="s">
        <v>112</v>
      </c>
      <c r="I15" s="3" t="s">
        <v>221</v>
      </c>
    </row>
    <row r="17" customFormat="false" ht="15" hidden="false" customHeight="true" outlineLevel="0" collapsed="false">
      <c r="A17" s="9" t="s">
        <v>222</v>
      </c>
    </row>
    <row r="18" customFormat="false" ht="15" hidden="false" customHeight="true" outlineLevel="0" collapsed="false">
      <c r="A18" s="3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13" activeCellId="0" sqref="E1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13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1"/>
    <col collapsed="false" customWidth="true" hidden="false" outlineLevel="0" max="12" min="11" style="1" width="14"/>
    <col collapsed="false" customWidth="true" hidden="false" outlineLevel="0" max="13" min="13" style="1" width="11"/>
    <col collapsed="false" customWidth="true" hidden="false" outlineLevel="0" max="14" min="14" style="1" width="15"/>
    <col collapsed="false" customWidth="true" hidden="false" outlineLevel="0" max="15" min="15" style="1" width="14"/>
    <col collapsed="false" customWidth="true" hidden="false" outlineLevel="0" max="16" min="16" style="1" width="9"/>
    <col collapsed="false" customWidth="true" hidden="false" outlineLevel="0" max="17" min="17" style="1" width="15"/>
    <col collapsed="false" customWidth="true" hidden="false" outlineLevel="0" max="19" min="18" style="1" width="12"/>
    <col collapsed="false" customWidth="true" hidden="false" outlineLevel="0" max="20" min="20" style="1" width="13"/>
    <col collapsed="false" customWidth="true" hidden="false" outlineLevel="0" max="21" min="21" style="1" width="10"/>
    <col collapsed="false" customWidth="true" hidden="false" outlineLevel="0" max="22" min="22" style="1" width="30"/>
    <col collapsed="false" customWidth="true" hidden="false" outlineLevel="0" max="23" min="23" style="1" width="9"/>
    <col collapsed="false" customWidth="true" hidden="false" outlineLevel="0" max="24" min="24" style="1" width="11"/>
    <col collapsed="false" customWidth="true" hidden="false" outlineLevel="0" max="25" min="25" style="1" width="24"/>
    <col collapsed="false" customWidth="true" hidden="false" outlineLevel="0" max="26" min="26" style="1" width="9"/>
    <col collapsed="false" customWidth="true" hidden="false" outlineLevel="0" max="27" min="27" style="1" width="11"/>
    <col collapsed="false" customWidth="true" hidden="false" outlineLevel="0" max="28" min="28" style="1" width="42"/>
  </cols>
  <sheetData>
    <row r="1" customFormat="false" ht="25.5" hidden="false" customHeight="true" outlineLevel="0" collapsed="false">
      <c r="A1" s="10" t="s">
        <v>224</v>
      </c>
      <c r="B1" s="10" t="s">
        <v>225</v>
      </c>
      <c r="C1" s="10" t="s">
        <v>128</v>
      </c>
      <c r="D1" s="11" t="s">
        <v>156</v>
      </c>
      <c r="E1" s="10" t="s">
        <v>124</v>
      </c>
      <c r="F1" s="10" t="s">
        <v>126</v>
      </c>
      <c r="G1" s="10" t="s">
        <v>125</v>
      </c>
      <c r="H1" s="10" t="s">
        <v>127</v>
      </c>
      <c r="I1" s="10" t="s">
        <v>39</v>
      </c>
      <c r="J1" s="10" t="s">
        <v>131</v>
      </c>
      <c r="K1" s="10" t="s">
        <v>226</v>
      </c>
      <c r="L1" s="10" t="s">
        <v>227</v>
      </c>
      <c r="M1" s="10" t="s">
        <v>228</v>
      </c>
      <c r="N1" s="12" t="s">
        <v>229</v>
      </c>
      <c r="O1" s="10" t="s">
        <v>132</v>
      </c>
      <c r="P1" s="10" t="s">
        <v>133</v>
      </c>
      <c r="Q1" s="10" t="s">
        <v>129</v>
      </c>
      <c r="R1" s="10" t="s">
        <v>130</v>
      </c>
      <c r="S1" s="11" t="s">
        <v>230</v>
      </c>
      <c r="T1" s="10" t="s">
        <v>137</v>
      </c>
      <c r="U1" s="10" t="s">
        <v>134</v>
      </c>
      <c r="V1" s="10" t="s">
        <v>231</v>
      </c>
      <c r="W1" s="10" t="s">
        <v>40</v>
      </c>
      <c r="X1" s="11" t="s">
        <v>41</v>
      </c>
      <c r="Y1" s="10" t="s">
        <v>232</v>
      </c>
      <c r="Z1" s="10" t="s">
        <v>135</v>
      </c>
      <c r="AA1" s="10" t="s">
        <v>136</v>
      </c>
      <c r="AB1" s="11" t="s">
        <v>233</v>
      </c>
    </row>
    <row r="2" customFormat="false" ht="15" hidden="false" customHeight="true" outlineLevel="0" collapsed="false">
      <c r="A2" s="1" t="s">
        <v>43</v>
      </c>
      <c r="B2" s="1" t="s">
        <v>234</v>
      </c>
      <c r="C2" s="13" t="s">
        <v>156</v>
      </c>
      <c r="D2" s="1" t="s">
        <v>235</v>
      </c>
      <c r="E2" s="13" t="s">
        <v>210</v>
      </c>
      <c r="F2" s="13" t="s">
        <v>154</v>
      </c>
      <c r="G2" s="13" t="s">
        <v>167</v>
      </c>
      <c r="H2" s="13" t="s">
        <v>141</v>
      </c>
      <c r="I2" s="1" t="s">
        <v>47</v>
      </c>
      <c r="J2" s="13" t="s">
        <v>145</v>
      </c>
      <c r="K2" s="14" t="s">
        <v>236</v>
      </c>
      <c r="L2" s="15" t="n">
        <v>41992</v>
      </c>
      <c r="M2" s="1" t="n">
        <v>1000</v>
      </c>
      <c r="N2" s="16" t="n">
        <f aca="false">IF(L2="","",L2*M2)</f>
        <v>41992000</v>
      </c>
      <c r="O2" s="13" t="s">
        <v>147</v>
      </c>
      <c r="P2" s="13" t="s">
        <v>147</v>
      </c>
      <c r="Q2" s="13" t="s">
        <v>112</v>
      </c>
      <c r="R2" s="13" t="s">
        <v>144</v>
      </c>
      <c r="T2" s="13" t="s">
        <v>165</v>
      </c>
      <c r="U2" s="13" t="s">
        <v>148</v>
      </c>
      <c r="V2" s="1" t="s">
        <v>237</v>
      </c>
      <c r="W2" s="1" t="n">
        <v>48</v>
      </c>
      <c r="X2" s="1" t="n">
        <v>44</v>
      </c>
      <c r="Y2" s="15" t="s">
        <v>238</v>
      </c>
      <c r="Z2" s="13" t="s">
        <v>149</v>
      </c>
      <c r="AA2" s="13" t="s">
        <v>150</v>
      </c>
      <c r="AB2" s="1" t="s">
        <v>239</v>
      </c>
    </row>
    <row r="3" customFormat="false" ht="15" hidden="false" customHeight="true" outlineLevel="0" collapsed="false">
      <c r="A3" s="1" t="s">
        <v>49</v>
      </c>
      <c r="B3" s="1" t="s">
        <v>234</v>
      </c>
      <c r="C3" s="13" t="s">
        <v>156</v>
      </c>
      <c r="D3" s="1" t="s">
        <v>235</v>
      </c>
      <c r="E3" s="13" t="s">
        <v>210</v>
      </c>
      <c r="F3" s="13" t="s">
        <v>154</v>
      </c>
      <c r="G3" s="13" t="s">
        <v>167</v>
      </c>
      <c r="H3" s="13" t="s">
        <v>141</v>
      </c>
      <c r="I3" s="1" t="s">
        <v>51</v>
      </c>
      <c r="J3" s="13" t="s">
        <v>145</v>
      </c>
      <c r="K3" s="14" t="s">
        <v>240</v>
      </c>
      <c r="L3" s="1" t="n">
        <v>144363</v>
      </c>
      <c r="M3" s="1" t="n">
        <v>1000</v>
      </c>
      <c r="N3" s="16" t="n">
        <f aca="false">IF(L3="","",L3*M3)</f>
        <v>144363000</v>
      </c>
      <c r="O3" s="13" t="s">
        <v>147</v>
      </c>
      <c r="P3" s="13" t="s">
        <v>147</v>
      </c>
      <c r="Q3" s="13" t="s">
        <v>112</v>
      </c>
      <c r="R3" s="13" t="s">
        <v>144</v>
      </c>
      <c r="T3" s="13" t="s">
        <v>151</v>
      </c>
      <c r="U3" s="13" t="s">
        <v>148</v>
      </c>
      <c r="V3" s="1" t="s">
        <v>237</v>
      </c>
      <c r="W3" s="1" t="n">
        <v>48</v>
      </c>
      <c r="X3" s="1" t="n">
        <v>44</v>
      </c>
      <c r="Y3" s="1" t="s">
        <v>241</v>
      </c>
      <c r="Z3" s="13" t="s">
        <v>149</v>
      </c>
      <c r="AA3" s="13" t="s">
        <v>150</v>
      </c>
      <c r="AB3" s="1" t="s">
        <v>242</v>
      </c>
    </row>
    <row r="4" customFormat="false" ht="15" hidden="false" customHeight="true" outlineLevel="0" collapsed="false">
      <c r="A4" s="1" t="s">
        <v>53</v>
      </c>
      <c r="B4" s="1" t="s">
        <v>234</v>
      </c>
      <c r="C4" s="13" t="s">
        <v>156</v>
      </c>
      <c r="D4" s="1" t="s">
        <v>235</v>
      </c>
      <c r="E4" s="13" t="s">
        <v>210</v>
      </c>
      <c r="F4" s="13" t="s">
        <v>154</v>
      </c>
      <c r="G4" s="13" t="s">
        <v>167</v>
      </c>
      <c r="H4" s="13" t="s">
        <v>141</v>
      </c>
      <c r="I4" s="1" t="s">
        <v>55</v>
      </c>
      <c r="J4" s="13" t="s">
        <v>145</v>
      </c>
      <c r="K4" s="14" t="s">
        <v>243</v>
      </c>
      <c r="L4" s="1" t="n">
        <v>252468</v>
      </c>
      <c r="M4" s="1" t="n">
        <v>1000</v>
      </c>
      <c r="N4" s="16" t="n">
        <f aca="false">IF(L4="","",L4*M4)</f>
        <v>252468000</v>
      </c>
      <c r="O4" s="13" t="s">
        <v>147</v>
      </c>
      <c r="P4" s="13" t="s">
        <v>147</v>
      </c>
      <c r="Q4" s="13" t="s">
        <v>112</v>
      </c>
      <c r="R4" s="13" t="s">
        <v>144</v>
      </c>
      <c r="T4" s="13" t="s">
        <v>151</v>
      </c>
      <c r="U4" s="13" t="s">
        <v>148</v>
      </c>
      <c r="V4" s="1" t="s">
        <v>237</v>
      </c>
      <c r="W4" s="1" t="n">
        <v>48</v>
      </c>
      <c r="X4" s="1" t="n">
        <v>44</v>
      </c>
      <c r="Y4" s="1" t="s">
        <v>244</v>
      </c>
      <c r="Z4" s="13" t="s">
        <v>149</v>
      </c>
      <c r="AA4" s="13" t="s">
        <v>150</v>
      </c>
      <c r="AB4" s="1" t="s">
        <v>245</v>
      </c>
    </row>
    <row r="5" customFormat="false" ht="15" hidden="false" customHeight="true" outlineLevel="0" collapsed="false">
      <c r="A5" s="1" t="s">
        <v>57</v>
      </c>
      <c r="B5" s="1" t="s">
        <v>234</v>
      </c>
      <c r="C5" s="13" t="s">
        <v>156</v>
      </c>
      <c r="D5" s="1" t="s">
        <v>235</v>
      </c>
      <c r="E5" s="13" t="s">
        <v>210</v>
      </c>
      <c r="F5" s="13" t="s">
        <v>154</v>
      </c>
      <c r="G5" s="13" t="s">
        <v>139</v>
      </c>
      <c r="H5" s="13" t="s">
        <v>141</v>
      </c>
      <c r="I5" s="1" t="s">
        <v>47</v>
      </c>
      <c r="J5" s="13" t="s">
        <v>145</v>
      </c>
      <c r="K5" s="14" t="s">
        <v>236</v>
      </c>
      <c r="L5" s="1" t="n">
        <v>50692</v>
      </c>
      <c r="M5" s="1" t="n">
        <v>1</v>
      </c>
      <c r="N5" s="16" t="n">
        <f aca="false">IF(L5="","",L5*M5)</f>
        <v>50692</v>
      </c>
      <c r="O5" s="13" t="s">
        <v>146</v>
      </c>
      <c r="P5" s="13" t="s">
        <v>197</v>
      </c>
      <c r="Q5" s="13" t="s">
        <v>112</v>
      </c>
      <c r="R5" s="13" t="s">
        <v>144</v>
      </c>
      <c r="T5" s="13" t="s">
        <v>165</v>
      </c>
      <c r="U5" s="13" t="s">
        <v>148</v>
      </c>
      <c r="V5" s="1" t="s">
        <v>237</v>
      </c>
      <c r="W5" s="1" t="n">
        <v>53</v>
      </c>
      <c r="X5" s="1" t="n">
        <v>49</v>
      </c>
      <c r="Y5" s="1" t="s">
        <v>58</v>
      </c>
      <c r="Z5" s="13" t="s">
        <v>149</v>
      </c>
      <c r="AA5" s="13" t="s">
        <v>150</v>
      </c>
      <c r="AB5" s="1" t="s">
        <v>246</v>
      </c>
    </row>
    <row r="6" customFormat="false" ht="15" hidden="false" customHeight="true" outlineLevel="0" collapsed="false">
      <c r="A6" s="1" t="s">
        <v>61</v>
      </c>
      <c r="B6" s="1" t="s">
        <v>234</v>
      </c>
      <c r="C6" s="13" t="s">
        <v>156</v>
      </c>
      <c r="D6" s="1" t="s">
        <v>235</v>
      </c>
      <c r="E6" s="13" t="s">
        <v>210</v>
      </c>
      <c r="F6" s="13" t="s">
        <v>154</v>
      </c>
      <c r="G6" s="13" t="s">
        <v>153</v>
      </c>
      <c r="H6" s="13" t="s">
        <v>141</v>
      </c>
      <c r="I6" s="1" t="s">
        <v>47</v>
      </c>
      <c r="J6" s="13" t="s">
        <v>145</v>
      </c>
      <c r="K6" s="14" t="s">
        <v>236</v>
      </c>
      <c r="L6" s="1" t="n">
        <v>8922</v>
      </c>
      <c r="M6" s="1" t="n">
        <v>1</v>
      </c>
      <c r="N6" s="16" t="n">
        <f aca="false">IF(L6="","",L6*M6)</f>
        <v>8922</v>
      </c>
      <c r="O6" s="13" t="s">
        <v>146</v>
      </c>
      <c r="P6" s="13" t="s">
        <v>197</v>
      </c>
      <c r="Q6" s="13" t="s">
        <v>112</v>
      </c>
      <c r="R6" s="13" t="s">
        <v>144</v>
      </c>
      <c r="T6" s="13" t="s">
        <v>165</v>
      </c>
      <c r="U6" s="13" t="s">
        <v>148</v>
      </c>
      <c r="V6" s="1" t="s">
        <v>237</v>
      </c>
      <c r="W6" s="1" t="n">
        <v>53</v>
      </c>
      <c r="X6" s="1" t="n">
        <v>49</v>
      </c>
      <c r="Y6" s="1" t="s">
        <v>62</v>
      </c>
      <c r="Z6" s="13" t="s">
        <v>149</v>
      </c>
      <c r="AA6" s="13" t="s">
        <v>150</v>
      </c>
      <c r="AB6" s="1" t="s">
        <v>247</v>
      </c>
    </row>
    <row r="7" customFormat="false" ht="15" hidden="false" customHeight="true" outlineLevel="0" collapsed="false">
      <c r="A7" s="1" t="s">
        <v>65</v>
      </c>
      <c r="B7" s="1" t="s">
        <v>234</v>
      </c>
      <c r="C7" s="13" t="s">
        <v>156</v>
      </c>
      <c r="D7" s="1" t="s">
        <v>235</v>
      </c>
      <c r="E7" s="13" t="s">
        <v>210</v>
      </c>
      <c r="F7" s="13" t="s">
        <v>154</v>
      </c>
      <c r="G7" s="13" t="s">
        <v>153</v>
      </c>
      <c r="H7" s="13" t="s">
        <v>141</v>
      </c>
      <c r="I7" s="1" t="s">
        <v>51</v>
      </c>
      <c r="J7" s="13" t="s">
        <v>145</v>
      </c>
      <c r="K7" s="14" t="s">
        <v>240</v>
      </c>
      <c r="L7" s="1" t="n">
        <v>32703</v>
      </c>
      <c r="M7" s="1" t="n">
        <v>1</v>
      </c>
      <c r="N7" s="16" t="n">
        <f aca="false">IF(L7="","",L7*M7)</f>
        <v>32703</v>
      </c>
      <c r="O7" s="13" t="s">
        <v>146</v>
      </c>
      <c r="P7" s="13" t="s">
        <v>197</v>
      </c>
      <c r="Q7" s="13" t="s">
        <v>112</v>
      </c>
      <c r="R7" s="13" t="s">
        <v>144</v>
      </c>
      <c r="T7" s="13" t="s">
        <v>151</v>
      </c>
      <c r="U7" s="13" t="s">
        <v>148</v>
      </c>
      <c r="V7" s="1" t="s">
        <v>237</v>
      </c>
      <c r="W7" s="1" t="n">
        <v>53</v>
      </c>
      <c r="X7" s="1" t="n">
        <v>49</v>
      </c>
      <c r="Y7" s="1" t="s">
        <v>66</v>
      </c>
      <c r="Z7" s="13" t="s">
        <v>149</v>
      </c>
      <c r="AA7" s="13" t="s">
        <v>150</v>
      </c>
      <c r="AB7" s="1" t="s">
        <v>248</v>
      </c>
    </row>
    <row r="8" customFormat="false" ht="15" hidden="false" customHeight="true" outlineLevel="0" collapsed="false">
      <c r="A8" s="1" t="s">
        <v>68</v>
      </c>
      <c r="B8" s="1" t="s">
        <v>234</v>
      </c>
      <c r="C8" s="13" t="s">
        <v>156</v>
      </c>
      <c r="D8" s="1" t="s">
        <v>235</v>
      </c>
      <c r="E8" s="13" t="s">
        <v>210</v>
      </c>
      <c r="F8" s="13" t="s">
        <v>154</v>
      </c>
      <c r="G8" s="13" t="s">
        <v>177</v>
      </c>
      <c r="H8" s="13" t="s">
        <v>141</v>
      </c>
      <c r="I8" s="1" t="s">
        <v>47</v>
      </c>
      <c r="J8" s="13" t="s">
        <v>145</v>
      </c>
      <c r="K8" s="14" t="s">
        <v>236</v>
      </c>
      <c r="L8" s="1" t="n">
        <v>4707</v>
      </c>
      <c r="M8" s="1" t="n">
        <v>1</v>
      </c>
      <c r="N8" s="16" t="n">
        <f aca="false">IF(L8="","",L8*M8)</f>
        <v>4707</v>
      </c>
      <c r="O8" s="13" t="s">
        <v>201</v>
      </c>
      <c r="P8" s="13" t="s">
        <v>147</v>
      </c>
      <c r="Q8" s="13" t="s">
        <v>143</v>
      </c>
      <c r="R8" s="13" t="s">
        <v>144</v>
      </c>
      <c r="T8" s="13" t="s">
        <v>165</v>
      </c>
      <c r="U8" s="13" t="s">
        <v>148</v>
      </c>
      <c r="V8" s="1" t="s">
        <v>237</v>
      </c>
      <c r="W8" s="1" t="n">
        <v>53</v>
      </c>
      <c r="X8" s="1" t="n">
        <v>49</v>
      </c>
      <c r="Y8" s="1" t="s">
        <v>249</v>
      </c>
      <c r="Z8" s="13" t="s">
        <v>149</v>
      </c>
      <c r="AA8" s="13" t="s">
        <v>150</v>
      </c>
      <c r="AB8" s="1" t="s">
        <v>250</v>
      </c>
    </row>
    <row r="9" customFormat="false" ht="15" hidden="false" customHeight="true" outlineLevel="0" collapsed="false">
      <c r="A9" s="1" t="s">
        <v>72</v>
      </c>
      <c r="B9" s="1" t="s">
        <v>234</v>
      </c>
      <c r="C9" s="13" t="s">
        <v>156</v>
      </c>
      <c r="D9" s="1" t="s">
        <v>235</v>
      </c>
      <c r="E9" s="13" t="s">
        <v>210</v>
      </c>
      <c r="F9" s="13" t="s">
        <v>154</v>
      </c>
      <c r="G9" s="13" t="s">
        <v>177</v>
      </c>
      <c r="H9" s="13" t="s">
        <v>141</v>
      </c>
      <c r="I9" s="1" t="s">
        <v>55</v>
      </c>
      <c r="J9" s="13" t="s">
        <v>145</v>
      </c>
      <c r="K9" s="14" t="s">
        <v>243</v>
      </c>
      <c r="L9" s="1" t="n">
        <v>6854</v>
      </c>
      <c r="M9" s="1" t="n">
        <v>1</v>
      </c>
      <c r="N9" s="16" t="n">
        <f aca="false">IF(L9="","",L9*M9)</f>
        <v>6854</v>
      </c>
      <c r="O9" s="13" t="s">
        <v>201</v>
      </c>
      <c r="P9" s="13" t="s">
        <v>147</v>
      </c>
      <c r="Q9" s="13" t="s">
        <v>143</v>
      </c>
      <c r="R9" s="13" t="s">
        <v>144</v>
      </c>
      <c r="T9" s="13" t="s">
        <v>151</v>
      </c>
      <c r="U9" s="13" t="s">
        <v>148</v>
      </c>
      <c r="V9" s="1" t="s">
        <v>237</v>
      </c>
      <c r="W9" s="1" t="n">
        <v>53</v>
      </c>
      <c r="X9" s="1" t="n">
        <v>49</v>
      </c>
      <c r="Y9" s="1" t="s">
        <v>251</v>
      </c>
      <c r="Z9" s="13" t="s">
        <v>149</v>
      </c>
      <c r="AA9" s="13" t="s">
        <v>150</v>
      </c>
      <c r="AB9" s="1" t="s">
        <v>252</v>
      </c>
    </row>
    <row r="10" customFormat="false" ht="15" hidden="false" customHeight="true" outlineLevel="0" collapsed="false">
      <c r="A10" s="1" t="s">
        <v>75</v>
      </c>
      <c r="B10" s="1" t="s">
        <v>234</v>
      </c>
      <c r="C10" s="13" t="s">
        <v>156</v>
      </c>
      <c r="D10" s="1" t="s">
        <v>235</v>
      </c>
      <c r="E10" s="13" t="s">
        <v>138</v>
      </c>
      <c r="F10" s="13" t="s">
        <v>168</v>
      </c>
      <c r="G10" s="13" t="s">
        <v>167</v>
      </c>
      <c r="H10" s="13" t="s">
        <v>155</v>
      </c>
      <c r="I10" s="1" t="s">
        <v>47</v>
      </c>
      <c r="J10" s="13" t="s">
        <v>145</v>
      </c>
      <c r="K10" s="14" t="s">
        <v>236</v>
      </c>
      <c r="L10" s="1" t="n">
        <v>115131</v>
      </c>
      <c r="M10" s="1" t="n">
        <v>1000</v>
      </c>
      <c r="N10" s="16" t="n">
        <f aca="false">IF(L10="","",L10*M10)</f>
        <v>115131000</v>
      </c>
      <c r="O10" s="13" t="s">
        <v>147</v>
      </c>
      <c r="P10" s="13" t="s">
        <v>147</v>
      </c>
      <c r="Q10" s="13" t="s">
        <v>112</v>
      </c>
      <c r="R10" s="13" t="s">
        <v>144</v>
      </c>
      <c r="T10" s="13" t="s">
        <v>165</v>
      </c>
      <c r="U10" s="13" t="s">
        <v>148</v>
      </c>
      <c r="V10" s="1" t="s">
        <v>237</v>
      </c>
      <c r="W10" s="1" t="n">
        <v>48</v>
      </c>
      <c r="X10" s="1" t="n">
        <v>44</v>
      </c>
      <c r="Y10" s="1" t="s">
        <v>76</v>
      </c>
      <c r="Z10" s="13" t="s">
        <v>149</v>
      </c>
      <c r="AA10" s="13" t="s">
        <v>164</v>
      </c>
      <c r="AB10" s="1" t="s">
        <v>253</v>
      </c>
    </row>
    <row r="11" customFormat="false" ht="15" hidden="false" customHeight="true" outlineLevel="0" collapsed="false">
      <c r="A11" s="1" t="s">
        <v>79</v>
      </c>
      <c r="B11" s="1" t="s">
        <v>234</v>
      </c>
      <c r="C11" s="13" t="s">
        <v>156</v>
      </c>
      <c r="D11" s="1" t="s">
        <v>235</v>
      </c>
      <c r="E11" s="13" t="s">
        <v>138</v>
      </c>
      <c r="F11" s="13" t="s">
        <v>168</v>
      </c>
      <c r="G11" s="13" t="s">
        <v>167</v>
      </c>
      <c r="H11" s="13" t="s">
        <v>155</v>
      </c>
      <c r="I11" s="1" t="s">
        <v>55</v>
      </c>
      <c r="J11" s="13" t="s">
        <v>145</v>
      </c>
      <c r="K11" s="14" t="s">
        <v>243</v>
      </c>
      <c r="L11" s="1" t="n">
        <v>695</v>
      </c>
      <c r="M11" s="1" t="n">
        <v>1000</v>
      </c>
      <c r="N11" s="16" t="n">
        <f aca="false">IF(L11="","",L11*M11)</f>
        <v>695000</v>
      </c>
      <c r="O11" s="13" t="s">
        <v>147</v>
      </c>
      <c r="P11" s="13" t="s">
        <v>147</v>
      </c>
      <c r="Q11" s="13" t="s">
        <v>112</v>
      </c>
      <c r="R11" s="13" t="s">
        <v>144</v>
      </c>
      <c r="T11" s="13" t="s">
        <v>151</v>
      </c>
      <c r="U11" s="13" t="s">
        <v>148</v>
      </c>
      <c r="V11" s="1" t="s">
        <v>237</v>
      </c>
      <c r="W11" s="1" t="n">
        <v>48</v>
      </c>
      <c r="X11" s="1" t="n">
        <v>44</v>
      </c>
      <c r="Y11" s="1" t="s">
        <v>80</v>
      </c>
      <c r="Z11" s="13" t="s">
        <v>149</v>
      </c>
      <c r="AA11" s="13" t="s">
        <v>164</v>
      </c>
      <c r="AB11" s="1" t="s">
        <v>254</v>
      </c>
    </row>
    <row r="12" customFormat="false" ht="15" hidden="false" customHeight="true" outlineLevel="0" collapsed="false">
      <c r="A12" s="1" t="s">
        <v>82</v>
      </c>
      <c r="B12" s="1" t="s">
        <v>234</v>
      </c>
      <c r="C12" s="13" t="s">
        <v>156</v>
      </c>
      <c r="D12" s="1" t="s">
        <v>235</v>
      </c>
      <c r="E12" s="13" t="s">
        <v>138</v>
      </c>
      <c r="F12" s="13" t="s">
        <v>168</v>
      </c>
      <c r="G12" s="13" t="s">
        <v>139</v>
      </c>
      <c r="H12" s="13" t="s">
        <v>169</v>
      </c>
      <c r="I12" s="1" t="s">
        <v>47</v>
      </c>
      <c r="J12" s="13" t="s">
        <v>145</v>
      </c>
      <c r="K12" s="14" t="s">
        <v>236</v>
      </c>
      <c r="L12" s="1" t="n">
        <v>2599</v>
      </c>
      <c r="M12" s="1" t="n">
        <v>1</v>
      </c>
      <c r="N12" s="16" t="n">
        <f aca="false">IF(L12="","",L12*M12)</f>
        <v>2599</v>
      </c>
      <c r="O12" s="13" t="s">
        <v>146</v>
      </c>
      <c r="P12" s="13" t="s">
        <v>197</v>
      </c>
      <c r="Q12" s="13" t="s">
        <v>112</v>
      </c>
      <c r="R12" s="13" t="s">
        <v>144</v>
      </c>
      <c r="T12" s="13" t="s">
        <v>165</v>
      </c>
      <c r="U12" s="13" t="s">
        <v>148</v>
      </c>
      <c r="V12" s="1" t="s">
        <v>237</v>
      </c>
      <c r="W12" s="1" t="n">
        <v>53</v>
      </c>
      <c r="X12" s="1" t="n">
        <v>49</v>
      </c>
      <c r="Y12" s="1" t="s">
        <v>83</v>
      </c>
      <c r="Z12" s="13" t="s">
        <v>149</v>
      </c>
      <c r="AA12" s="13" t="s">
        <v>150</v>
      </c>
      <c r="AB12" s="1" t="s">
        <v>255</v>
      </c>
    </row>
    <row r="13" customFormat="false" ht="15" hidden="false" customHeight="true" outlineLevel="0" collapsed="false">
      <c r="A13" s="1" t="s">
        <v>86</v>
      </c>
      <c r="B13" s="1" t="s">
        <v>234</v>
      </c>
      <c r="C13" s="13" t="s">
        <v>156</v>
      </c>
      <c r="D13" s="1" t="s">
        <v>235</v>
      </c>
      <c r="E13" s="13" t="s">
        <v>138</v>
      </c>
      <c r="F13" s="13" t="s">
        <v>168</v>
      </c>
      <c r="G13" s="13" t="s">
        <v>153</v>
      </c>
      <c r="H13" s="13" t="s">
        <v>155</v>
      </c>
      <c r="I13" s="1" t="s">
        <v>47</v>
      </c>
      <c r="J13" s="13" t="s">
        <v>145</v>
      </c>
      <c r="K13" s="14" t="s">
        <v>236</v>
      </c>
      <c r="L13" s="1" t="n">
        <v>1994</v>
      </c>
      <c r="M13" s="1" t="n">
        <v>1</v>
      </c>
      <c r="N13" s="16" t="n">
        <f aca="false">IF(L13="","",L13*M13)</f>
        <v>1994</v>
      </c>
      <c r="O13" s="13" t="s">
        <v>146</v>
      </c>
      <c r="P13" s="13" t="s">
        <v>197</v>
      </c>
      <c r="Q13" s="13" t="s">
        <v>112</v>
      </c>
      <c r="R13" s="13" t="s">
        <v>144</v>
      </c>
      <c r="T13" s="13" t="s">
        <v>165</v>
      </c>
      <c r="U13" s="13" t="s">
        <v>148</v>
      </c>
      <c r="V13" s="1" t="s">
        <v>237</v>
      </c>
      <c r="W13" s="1" t="n">
        <v>53</v>
      </c>
      <c r="X13" s="1" t="n">
        <v>49</v>
      </c>
      <c r="Y13" s="1" t="s">
        <v>87</v>
      </c>
      <c r="Z13" s="13" t="s">
        <v>149</v>
      </c>
      <c r="AA13" s="13" t="s">
        <v>164</v>
      </c>
      <c r="AB13" s="1" t="s">
        <v>256</v>
      </c>
    </row>
    <row r="14" customFormat="false" ht="15" hidden="false" customHeight="true" outlineLevel="0" collapsed="false">
      <c r="A14" s="1" t="s">
        <v>90</v>
      </c>
      <c r="B14" s="1" t="s">
        <v>234</v>
      </c>
      <c r="C14" s="13" t="s">
        <v>156</v>
      </c>
      <c r="D14" s="1" t="s">
        <v>235</v>
      </c>
      <c r="E14" s="13" t="s">
        <v>138</v>
      </c>
      <c r="F14" s="13" t="s">
        <v>168</v>
      </c>
      <c r="G14" s="13" t="s">
        <v>153</v>
      </c>
      <c r="H14" s="13" t="s">
        <v>155</v>
      </c>
      <c r="I14" s="1" t="s">
        <v>55</v>
      </c>
      <c r="J14" s="13" t="s">
        <v>145</v>
      </c>
      <c r="K14" s="14" t="s">
        <v>243</v>
      </c>
      <c r="L14" s="1" t="n">
        <v>10</v>
      </c>
      <c r="M14" s="1" t="n">
        <v>1</v>
      </c>
      <c r="N14" s="16" t="n">
        <f aca="false">IF(L14="","",L14*M14)</f>
        <v>10</v>
      </c>
      <c r="O14" s="13" t="s">
        <v>146</v>
      </c>
      <c r="P14" s="13" t="s">
        <v>197</v>
      </c>
      <c r="Q14" s="13" t="s">
        <v>112</v>
      </c>
      <c r="R14" s="13" t="s">
        <v>144</v>
      </c>
      <c r="T14" s="13" t="s">
        <v>151</v>
      </c>
      <c r="U14" s="13" t="s">
        <v>148</v>
      </c>
      <c r="V14" s="1" t="s">
        <v>237</v>
      </c>
      <c r="W14" s="1" t="n">
        <v>53</v>
      </c>
      <c r="X14" s="1" t="n">
        <v>49</v>
      </c>
      <c r="Y14" s="1" t="s">
        <v>91</v>
      </c>
      <c r="Z14" s="13" t="s">
        <v>149</v>
      </c>
      <c r="AA14" s="13" t="s">
        <v>164</v>
      </c>
      <c r="AB14" s="1" t="s">
        <v>257</v>
      </c>
    </row>
    <row r="15" customFormat="false" ht="15" hidden="false" customHeight="true" outlineLevel="0" collapsed="false">
      <c r="A15" s="1" t="s">
        <v>93</v>
      </c>
      <c r="B15" s="1" t="s">
        <v>234</v>
      </c>
      <c r="C15" s="13" t="s">
        <v>156</v>
      </c>
      <c r="D15" s="1" t="s">
        <v>258</v>
      </c>
      <c r="E15" s="13" t="s">
        <v>138</v>
      </c>
      <c r="F15" s="13" t="s">
        <v>178</v>
      </c>
      <c r="G15" s="13" t="s">
        <v>167</v>
      </c>
      <c r="H15" s="13" t="s">
        <v>112</v>
      </c>
      <c r="I15" s="1" t="s">
        <v>47</v>
      </c>
      <c r="J15" s="13" t="s">
        <v>145</v>
      </c>
      <c r="K15" s="14" t="s">
        <v>236</v>
      </c>
      <c r="L15" s="1" t="n">
        <v>66861</v>
      </c>
      <c r="M15" s="1" t="n">
        <v>1000</v>
      </c>
      <c r="N15" s="16" t="n">
        <f aca="false">IF(L15="","",L15*M15)</f>
        <v>66861000</v>
      </c>
      <c r="O15" s="13" t="s">
        <v>147</v>
      </c>
      <c r="P15" s="13" t="s">
        <v>147</v>
      </c>
      <c r="Q15" s="13" t="s">
        <v>112</v>
      </c>
      <c r="R15" s="13" t="s">
        <v>144</v>
      </c>
      <c r="T15" s="13" t="s">
        <v>165</v>
      </c>
      <c r="U15" s="13" t="s">
        <v>148</v>
      </c>
      <c r="V15" s="1" t="s">
        <v>237</v>
      </c>
      <c r="W15" s="1" t="n">
        <v>48</v>
      </c>
      <c r="X15" s="1" t="n">
        <v>44</v>
      </c>
      <c r="Y15" s="1" t="s">
        <v>94</v>
      </c>
      <c r="Z15" s="13" t="s">
        <v>149</v>
      </c>
      <c r="AA15" s="13" t="s">
        <v>150</v>
      </c>
      <c r="AB15" s="1" t="s">
        <v>259</v>
      </c>
    </row>
    <row r="16" customFormat="false" ht="15" hidden="false" customHeight="true" outlineLevel="0" collapsed="false">
      <c r="A16" s="1" t="s">
        <v>97</v>
      </c>
      <c r="B16" s="1" t="s">
        <v>234</v>
      </c>
      <c r="C16" s="13" t="s">
        <v>142</v>
      </c>
      <c r="E16" s="13" t="s">
        <v>138</v>
      </c>
      <c r="F16" s="13" t="s">
        <v>168</v>
      </c>
      <c r="G16" s="13" t="s">
        <v>217</v>
      </c>
      <c r="H16" s="13" t="s">
        <v>112</v>
      </c>
      <c r="I16" s="1" t="s">
        <v>47</v>
      </c>
      <c r="J16" s="13" t="s">
        <v>145</v>
      </c>
      <c r="K16" s="14" t="s">
        <v>236</v>
      </c>
      <c r="L16" s="1" t="n">
        <v>-2789</v>
      </c>
      <c r="M16" s="1" t="n">
        <v>1000</v>
      </c>
      <c r="N16" s="16" t="n">
        <f aca="false">IF(L16="","",L16*M16)</f>
        <v>-2789000</v>
      </c>
      <c r="O16" s="13" t="s">
        <v>147</v>
      </c>
      <c r="P16" s="13" t="s">
        <v>147</v>
      </c>
      <c r="Q16" s="13" t="s">
        <v>112</v>
      </c>
      <c r="R16" s="13" t="s">
        <v>144</v>
      </c>
      <c r="T16" s="13" t="s">
        <v>165</v>
      </c>
      <c r="U16" s="13" t="s">
        <v>148</v>
      </c>
      <c r="V16" s="1" t="s">
        <v>237</v>
      </c>
      <c r="W16" s="1" t="n">
        <v>48</v>
      </c>
      <c r="X16" s="1" t="n">
        <v>44</v>
      </c>
      <c r="Y16" s="1" t="s">
        <v>98</v>
      </c>
      <c r="Z16" s="13" t="s">
        <v>149</v>
      </c>
      <c r="AA16" s="13" t="s">
        <v>150</v>
      </c>
      <c r="AB16" s="1" t="s">
        <v>260</v>
      </c>
    </row>
    <row r="17" customFormat="false" ht="15" hidden="false" customHeight="true" outlineLevel="0" collapsed="false">
      <c r="A17" s="1" t="s">
        <v>101</v>
      </c>
      <c r="B17" s="1" t="s">
        <v>234</v>
      </c>
      <c r="C17" s="13" t="s">
        <v>142</v>
      </c>
      <c r="E17" s="13" t="s">
        <v>112</v>
      </c>
      <c r="F17" s="13" t="s">
        <v>112</v>
      </c>
      <c r="G17" s="13" t="s">
        <v>167</v>
      </c>
      <c r="H17" s="13" t="s">
        <v>112</v>
      </c>
      <c r="I17" s="1" t="s">
        <v>47</v>
      </c>
      <c r="J17" s="13" t="s">
        <v>145</v>
      </c>
      <c r="K17" s="14" t="s">
        <v>236</v>
      </c>
      <c r="L17" s="1" t="n">
        <v>224441</v>
      </c>
      <c r="M17" s="1" t="n">
        <v>1000</v>
      </c>
      <c r="N17" s="16" t="n">
        <f aca="false">IF(L17="","",L17*M17)</f>
        <v>224441000</v>
      </c>
      <c r="O17" s="13" t="s">
        <v>147</v>
      </c>
      <c r="P17" s="13" t="s">
        <v>147</v>
      </c>
      <c r="Q17" s="13" t="s">
        <v>112</v>
      </c>
      <c r="R17" s="13" t="s">
        <v>144</v>
      </c>
      <c r="T17" s="13" t="s">
        <v>165</v>
      </c>
      <c r="U17" s="13" t="s">
        <v>148</v>
      </c>
      <c r="V17" s="1" t="s">
        <v>237</v>
      </c>
      <c r="W17" s="1" t="n">
        <v>48</v>
      </c>
      <c r="X17" s="1" t="n">
        <v>44</v>
      </c>
      <c r="Y17" s="1" t="s">
        <v>261</v>
      </c>
      <c r="Z17" s="13" t="s">
        <v>149</v>
      </c>
      <c r="AA17" s="13" t="s">
        <v>150</v>
      </c>
      <c r="AB17" s="1" t="s">
        <v>262</v>
      </c>
    </row>
    <row r="18" customFormat="false" ht="15" hidden="false" customHeight="true" outlineLevel="0" collapsed="false">
      <c r="A18" s="1" t="s">
        <v>105</v>
      </c>
      <c r="B18" s="1" t="s">
        <v>234</v>
      </c>
      <c r="C18" s="13" t="s">
        <v>156</v>
      </c>
      <c r="D18" s="1" t="s">
        <v>235</v>
      </c>
      <c r="E18" s="13" t="s">
        <v>112</v>
      </c>
      <c r="F18" s="13" t="s">
        <v>112</v>
      </c>
      <c r="G18" s="13" t="s">
        <v>167</v>
      </c>
      <c r="H18" s="13" t="s">
        <v>112</v>
      </c>
      <c r="I18" s="1" t="s">
        <v>47</v>
      </c>
      <c r="J18" s="13" t="s">
        <v>145</v>
      </c>
      <c r="K18" s="14" t="s">
        <v>236</v>
      </c>
      <c r="L18" s="1" t="n">
        <v>160369</v>
      </c>
      <c r="M18" s="1" t="n">
        <v>1000</v>
      </c>
      <c r="N18" s="16" t="n">
        <f aca="false">IF(L18="","",L18*M18)</f>
        <v>160369000</v>
      </c>
      <c r="O18" s="13" t="s">
        <v>147</v>
      </c>
      <c r="P18" s="13" t="s">
        <v>147</v>
      </c>
      <c r="Q18" s="13" t="s">
        <v>112</v>
      </c>
      <c r="R18" s="13" t="s">
        <v>144</v>
      </c>
      <c r="T18" s="13" t="s">
        <v>165</v>
      </c>
      <c r="U18" s="13" t="s">
        <v>148</v>
      </c>
      <c r="V18" s="1" t="s">
        <v>237</v>
      </c>
      <c r="W18" s="1" t="n">
        <v>100</v>
      </c>
      <c r="X18" s="1" t="n">
        <v>96</v>
      </c>
      <c r="Y18" s="1" t="s">
        <v>106</v>
      </c>
      <c r="Z18" s="13" t="s">
        <v>149</v>
      </c>
      <c r="AA18" s="13" t="s">
        <v>150</v>
      </c>
      <c r="AB18" s="1" t="s">
        <v>263</v>
      </c>
    </row>
    <row r="19" customFormat="false" ht="15" hidden="false" customHeight="true" outlineLevel="0" collapsed="false">
      <c r="A19" s="1" t="s">
        <v>109</v>
      </c>
      <c r="B19" s="1" t="s">
        <v>234</v>
      </c>
      <c r="C19" s="13" t="s">
        <v>180</v>
      </c>
      <c r="E19" s="13" t="s">
        <v>138</v>
      </c>
      <c r="F19" s="13" t="s">
        <v>154</v>
      </c>
      <c r="G19" s="13" t="s">
        <v>207</v>
      </c>
      <c r="H19" s="13" t="s">
        <v>141</v>
      </c>
      <c r="I19" s="1" t="s">
        <v>112</v>
      </c>
      <c r="J19" s="13"/>
      <c r="K19" s="14"/>
      <c r="L19" s="1" t="n">
        <v>15.7</v>
      </c>
      <c r="M19" s="1" t="n">
        <v>1</v>
      </c>
      <c r="N19" s="16" t="n">
        <f aca="false">IF(L19="","",L19*M19)</f>
        <v>15.7</v>
      </c>
      <c r="O19" s="13" t="s">
        <v>221</v>
      </c>
      <c r="P19" s="13" t="s">
        <v>197</v>
      </c>
      <c r="Q19" s="13" t="s">
        <v>112</v>
      </c>
      <c r="R19" s="13" t="s">
        <v>144</v>
      </c>
      <c r="T19" s="13" t="s">
        <v>165</v>
      </c>
      <c r="U19" s="13" t="s">
        <v>148</v>
      </c>
      <c r="V19" s="1" t="s">
        <v>237</v>
      </c>
      <c r="W19" s="1" t="n">
        <v>33</v>
      </c>
      <c r="X19" s="1" t="n">
        <v>29</v>
      </c>
      <c r="Y19" s="1" t="s">
        <v>264</v>
      </c>
      <c r="Z19" s="13" t="s">
        <v>149</v>
      </c>
      <c r="AA19" s="13" t="s">
        <v>150</v>
      </c>
      <c r="AB19" s="1" t="s">
        <v>265</v>
      </c>
    </row>
    <row r="20" customFormat="false" ht="15" hidden="false" customHeight="true" outlineLevel="0" collapsed="false">
      <c r="A20" s="1" t="s">
        <v>114</v>
      </c>
      <c r="B20" s="1" t="s">
        <v>234</v>
      </c>
      <c r="C20" s="13" t="s">
        <v>180</v>
      </c>
      <c r="E20" s="13" t="s">
        <v>192</v>
      </c>
      <c r="F20" s="13" t="s">
        <v>154</v>
      </c>
      <c r="G20" s="13" t="s">
        <v>207</v>
      </c>
      <c r="H20" s="13" t="s">
        <v>141</v>
      </c>
      <c r="I20" s="1" t="s">
        <v>112</v>
      </c>
      <c r="J20" s="13"/>
      <c r="K20" s="14"/>
      <c r="L20" s="1" t="n">
        <v>50.2</v>
      </c>
      <c r="M20" s="1" t="n">
        <v>1</v>
      </c>
      <c r="N20" s="16" t="n">
        <f aca="false">IF(L20="","",L20*M20)</f>
        <v>50.2</v>
      </c>
      <c r="O20" s="13" t="s">
        <v>221</v>
      </c>
      <c r="P20" s="13" t="s">
        <v>197</v>
      </c>
      <c r="Q20" s="13" t="s">
        <v>112</v>
      </c>
      <c r="R20" s="13" t="s">
        <v>144</v>
      </c>
      <c r="T20" s="13" t="s">
        <v>165</v>
      </c>
      <c r="U20" s="13" t="s">
        <v>148</v>
      </c>
      <c r="V20" s="1" t="s">
        <v>237</v>
      </c>
      <c r="W20" s="1" t="n">
        <v>33</v>
      </c>
      <c r="X20" s="1" t="n">
        <v>29</v>
      </c>
      <c r="Y20" s="1" t="s">
        <v>266</v>
      </c>
      <c r="Z20" s="13" t="s">
        <v>149</v>
      </c>
      <c r="AA20" s="13" t="s">
        <v>150</v>
      </c>
      <c r="AB20" s="1" t="s">
        <v>267</v>
      </c>
    </row>
    <row r="21" customFormat="false" ht="15" hidden="false" customHeight="true" outlineLevel="0" collapsed="false">
      <c r="A21" s="1" t="s">
        <v>118</v>
      </c>
      <c r="B21" s="1" t="s">
        <v>234</v>
      </c>
      <c r="C21" s="13" t="s">
        <v>156</v>
      </c>
      <c r="D21" s="1" t="s">
        <v>235</v>
      </c>
      <c r="E21" s="13" t="s">
        <v>138</v>
      </c>
      <c r="F21" s="13" t="s">
        <v>168</v>
      </c>
      <c r="G21" s="13" t="s">
        <v>219</v>
      </c>
      <c r="H21" s="13" t="s">
        <v>112</v>
      </c>
      <c r="I21" s="1" t="s">
        <v>47</v>
      </c>
      <c r="J21" s="13" t="s">
        <v>145</v>
      </c>
      <c r="K21" s="14" t="s">
        <v>236</v>
      </c>
      <c r="L21" s="1" t="n">
        <v>51016</v>
      </c>
      <c r="M21" s="1" t="n">
        <v>1000</v>
      </c>
      <c r="N21" s="16" t="n">
        <f aca="false">IF(L21="","",L21*M21)</f>
        <v>51016000</v>
      </c>
      <c r="O21" s="13" t="s">
        <v>147</v>
      </c>
      <c r="P21" s="13" t="s">
        <v>147</v>
      </c>
      <c r="Q21" s="13" t="s">
        <v>112</v>
      </c>
      <c r="R21" s="13" t="s">
        <v>144</v>
      </c>
      <c r="T21" s="13" t="s">
        <v>165</v>
      </c>
      <c r="U21" s="13" t="s">
        <v>148</v>
      </c>
      <c r="V21" s="1" t="s">
        <v>237</v>
      </c>
      <c r="W21" s="1" t="n">
        <v>53</v>
      </c>
      <c r="X21" s="1" t="n">
        <v>49</v>
      </c>
      <c r="Y21" s="1" t="s">
        <v>268</v>
      </c>
      <c r="Z21" s="13" t="s">
        <v>149</v>
      </c>
      <c r="AA21" s="13" t="s">
        <v>150</v>
      </c>
      <c r="AB21" s="1" t="s">
        <v>269</v>
      </c>
    </row>
    <row r="22" customFormat="false" ht="15" hidden="false" customHeight="true" outlineLevel="0" collapsed="false">
      <c r="C22" s="13"/>
      <c r="E22" s="13"/>
      <c r="F22" s="13"/>
      <c r="G22" s="13"/>
      <c r="H22" s="13"/>
      <c r="J22" s="13"/>
      <c r="K22" s="14"/>
      <c r="N22" s="16" t="str">
        <f aca="false">IF(L22="","",L22*M22)</f>
        <v/>
      </c>
      <c r="O22" s="13"/>
      <c r="P22" s="13"/>
      <c r="Q22" s="13"/>
      <c r="R22" s="13"/>
      <c r="T22" s="13"/>
      <c r="U22" s="13"/>
      <c r="Z22" s="13"/>
      <c r="AA22" s="13"/>
    </row>
    <row r="23" customFormat="false" ht="15" hidden="false" customHeight="true" outlineLevel="0" collapsed="false">
      <c r="C23" s="13"/>
      <c r="E23" s="13"/>
      <c r="F23" s="13"/>
      <c r="G23" s="13"/>
      <c r="H23" s="13"/>
      <c r="J23" s="13"/>
      <c r="K23" s="14"/>
      <c r="N23" s="16" t="str">
        <f aca="false">IF(L23="","",L23*M23)</f>
        <v/>
      </c>
      <c r="O23" s="13"/>
      <c r="P23" s="13"/>
      <c r="Q23" s="13"/>
      <c r="R23" s="13"/>
      <c r="T23" s="13"/>
      <c r="U23" s="13"/>
      <c r="Z23" s="13"/>
      <c r="AA23" s="13"/>
    </row>
    <row r="24" customFormat="false" ht="15" hidden="false" customHeight="true" outlineLevel="0" collapsed="false">
      <c r="C24" s="13"/>
      <c r="E24" s="13"/>
      <c r="F24" s="13"/>
      <c r="G24" s="13"/>
      <c r="H24" s="13"/>
      <c r="J24" s="13"/>
      <c r="K24" s="14"/>
      <c r="N24" s="16" t="str">
        <f aca="false">IF(L24="","",L24*M24)</f>
        <v/>
      </c>
      <c r="O24" s="13"/>
      <c r="P24" s="13"/>
      <c r="Q24" s="13"/>
      <c r="R24" s="13"/>
      <c r="T24" s="13"/>
      <c r="U24" s="13"/>
      <c r="Z24" s="13"/>
      <c r="AA24" s="13"/>
    </row>
    <row r="25" customFormat="false" ht="15" hidden="false" customHeight="true" outlineLevel="0" collapsed="false">
      <c r="C25" s="13"/>
      <c r="E25" s="13"/>
      <c r="F25" s="13"/>
      <c r="G25" s="13"/>
      <c r="H25" s="13"/>
      <c r="J25" s="13"/>
      <c r="K25" s="14"/>
      <c r="N25" s="16" t="str">
        <f aca="false">IF(L25="","",L25*M25)</f>
        <v/>
      </c>
      <c r="O25" s="13"/>
      <c r="P25" s="13"/>
      <c r="Q25" s="13"/>
      <c r="R25" s="13"/>
      <c r="T25" s="13"/>
      <c r="U25" s="13"/>
      <c r="Z25" s="13"/>
      <c r="AA25" s="13"/>
    </row>
    <row r="26" customFormat="false" ht="15" hidden="false" customHeight="true" outlineLevel="0" collapsed="false">
      <c r="C26" s="13"/>
      <c r="E26" s="13"/>
      <c r="F26" s="13"/>
      <c r="G26" s="13"/>
      <c r="H26" s="13"/>
      <c r="J26" s="13"/>
      <c r="K26" s="14"/>
      <c r="N26" s="16" t="str">
        <f aca="false">IF(L26="","",L26*M26)</f>
        <v/>
      </c>
      <c r="O26" s="13"/>
      <c r="P26" s="13"/>
      <c r="Q26" s="13"/>
      <c r="R26" s="13"/>
      <c r="T26" s="13"/>
      <c r="U26" s="13"/>
      <c r="Z26" s="13"/>
      <c r="AA26" s="13"/>
    </row>
    <row r="27" customFormat="false" ht="15" hidden="false" customHeight="true" outlineLevel="0" collapsed="false">
      <c r="C27" s="13"/>
      <c r="E27" s="13"/>
      <c r="F27" s="13"/>
      <c r="G27" s="13"/>
      <c r="H27" s="13"/>
      <c r="J27" s="13"/>
      <c r="K27" s="14"/>
      <c r="N27" s="16" t="str">
        <f aca="false">IF(L27="","",L27*M27)</f>
        <v/>
      </c>
      <c r="O27" s="13"/>
      <c r="P27" s="13"/>
      <c r="Q27" s="13"/>
      <c r="R27" s="13"/>
      <c r="T27" s="13"/>
      <c r="U27" s="13"/>
      <c r="Z27" s="13"/>
      <c r="AA27" s="13"/>
    </row>
    <row r="28" customFormat="false" ht="15" hidden="false" customHeight="true" outlineLevel="0" collapsed="false">
      <c r="C28" s="13"/>
      <c r="E28" s="13"/>
      <c r="F28" s="13"/>
      <c r="G28" s="13"/>
      <c r="H28" s="13"/>
      <c r="J28" s="13"/>
      <c r="K28" s="14"/>
      <c r="N28" s="16" t="str">
        <f aca="false">IF(L28="","",L28*M28)</f>
        <v/>
      </c>
      <c r="O28" s="13"/>
      <c r="P28" s="13"/>
      <c r="Q28" s="13"/>
      <c r="R28" s="13"/>
      <c r="T28" s="13"/>
      <c r="U28" s="13"/>
      <c r="Z28" s="13"/>
      <c r="AA28" s="13"/>
    </row>
    <row r="29" customFormat="false" ht="15" hidden="false" customHeight="true" outlineLevel="0" collapsed="false">
      <c r="C29" s="13"/>
      <c r="E29" s="13"/>
      <c r="F29" s="13"/>
      <c r="G29" s="13"/>
      <c r="H29" s="13"/>
      <c r="J29" s="13"/>
      <c r="K29" s="14"/>
      <c r="N29" s="16" t="str">
        <f aca="false">IF(L29="","",L29*M29)</f>
        <v/>
      </c>
      <c r="O29" s="13"/>
      <c r="P29" s="13"/>
      <c r="Q29" s="13"/>
      <c r="R29" s="13"/>
      <c r="T29" s="13"/>
      <c r="U29" s="13"/>
      <c r="Z29" s="13"/>
      <c r="AA29" s="13"/>
    </row>
    <row r="30" customFormat="false" ht="15" hidden="false" customHeight="true" outlineLevel="0" collapsed="false">
      <c r="C30" s="13"/>
      <c r="E30" s="13"/>
      <c r="F30" s="13"/>
      <c r="G30" s="13"/>
      <c r="H30" s="13"/>
      <c r="J30" s="13"/>
      <c r="K30" s="14"/>
      <c r="N30" s="16" t="str">
        <f aca="false">IF(L30="","",L30*M30)</f>
        <v/>
      </c>
      <c r="O30" s="13"/>
      <c r="P30" s="13"/>
      <c r="Q30" s="13"/>
      <c r="R30" s="13"/>
      <c r="T30" s="13"/>
      <c r="U30" s="13"/>
      <c r="Z30" s="13"/>
      <c r="AA30" s="13"/>
    </row>
    <row r="31" customFormat="false" ht="15" hidden="false" customHeight="true" outlineLevel="0" collapsed="false">
      <c r="C31" s="13"/>
      <c r="E31" s="13"/>
      <c r="F31" s="13"/>
      <c r="G31" s="13"/>
      <c r="H31" s="13"/>
      <c r="J31" s="13"/>
      <c r="K31" s="14"/>
      <c r="N31" s="16" t="str">
        <f aca="false">IF(L31="","",L31*M31)</f>
        <v/>
      </c>
      <c r="O31" s="13"/>
      <c r="P31" s="13"/>
      <c r="Q31" s="13"/>
      <c r="R31" s="13"/>
      <c r="T31" s="13"/>
      <c r="U31" s="13"/>
      <c r="Z31" s="13"/>
      <c r="AA31" s="13"/>
    </row>
    <row r="32" customFormat="false" ht="15" hidden="false" customHeight="true" outlineLevel="0" collapsed="false">
      <c r="C32" s="13"/>
      <c r="E32" s="13"/>
      <c r="F32" s="13"/>
      <c r="G32" s="13"/>
      <c r="H32" s="13"/>
      <c r="J32" s="13"/>
      <c r="K32" s="14"/>
      <c r="N32" s="16" t="str">
        <f aca="false">IF(L32="","",L32*M32)</f>
        <v/>
      </c>
      <c r="O32" s="13"/>
      <c r="P32" s="13"/>
      <c r="Q32" s="13"/>
      <c r="R32" s="13"/>
      <c r="T32" s="13"/>
      <c r="U32" s="13"/>
      <c r="Z32" s="13"/>
      <c r="AA32" s="13"/>
    </row>
    <row r="33" customFormat="false" ht="15" hidden="false" customHeight="true" outlineLevel="0" collapsed="false">
      <c r="C33" s="13"/>
      <c r="E33" s="13"/>
      <c r="F33" s="13"/>
      <c r="G33" s="13"/>
      <c r="H33" s="13"/>
      <c r="J33" s="13"/>
      <c r="K33" s="14"/>
      <c r="N33" s="16" t="str">
        <f aca="false">IF(L33="","",L33*M33)</f>
        <v/>
      </c>
      <c r="O33" s="13"/>
      <c r="P33" s="13"/>
      <c r="Q33" s="13"/>
      <c r="R33" s="13"/>
      <c r="T33" s="13"/>
      <c r="U33" s="13"/>
      <c r="Z33" s="13"/>
      <c r="AA33" s="13"/>
    </row>
    <row r="34" customFormat="false" ht="15" hidden="false" customHeight="true" outlineLevel="0" collapsed="false">
      <c r="C34" s="13"/>
      <c r="E34" s="13"/>
      <c r="F34" s="13"/>
      <c r="G34" s="13"/>
      <c r="H34" s="13"/>
      <c r="J34" s="13"/>
      <c r="K34" s="14"/>
      <c r="N34" s="16" t="str">
        <f aca="false">IF(L34="","",L34*M34)</f>
        <v/>
      </c>
      <c r="O34" s="13"/>
      <c r="P34" s="13"/>
      <c r="Q34" s="13"/>
      <c r="R34" s="13"/>
      <c r="T34" s="13"/>
      <c r="U34" s="13"/>
      <c r="Z34" s="13"/>
      <c r="AA34" s="13"/>
    </row>
    <row r="35" customFormat="false" ht="15" hidden="false" customHeight="true" outlineLevel="0" collapsed="false">
      <c r="C35" s="13"/>
      <c r="E35" s="13"/>
      <c r="F35" s="13"/>
      <c r="G35" s="13"/>
      <c r="H35" s="13"/>
      <c r="J35" s="13"/>
      <c r="K35" s="14"/>
      <c r="N35" s="16" t="str">
        <f aca="false">IF(L35="","",L35*M35)</f>
        <v/>
      </c>
      <c r="O35" s="13"/>
      <c r="P35" s="13"/>
      <c r="Q35" s="13"/>
      <c r="R35" s="13"/>
      <c r="T35" s="13"/>
      <c r="U35" s="13"/>
      <c r="Z35" s="13"/>
      <c r="AA35" s="13"/>
    </row>
    <row r="36" customFormat="false" ht="15" hidden="false" customHeight="true" outlineLevel="0" collapsed="false">
      <c r="C36" s="13"/>
      <c r="E36" s="13"/>
      <c r="F36" s="13"/>
      <c r="G36" s="13"/>
      <c r="H36" s="13"/>
      <c r="J36" s="13"/>
      <c r="K36" s="14"/>
      <c r="N36" s="16" t="str">
        <f aca="false">IF(L36="","",L36*M36)</f>
        <v/>
      </c>
      <c r="O36" s="13"/>
      <c r="P36" s="13"/>
      <c r="Q36" s="13"/>
      <c r="R36" s="13"/>
      <c r="T36" s="13"/>
      <c r="U36" s="13"/>
      <c r="Z36" s="13"/>
      <c r="AA36" s="13"/>
    </row>
    <row r="37" customFormat="false" ht="15" hidden="false" customHeight="true" outlineLevel="0" collapsed="false">
      <c r="C37" s="13"/>
      <c r="E37" s="13"/>
      <c r="F37" s="13"/>
      <c r="G37" s="13"/>
      <c r="H37" s="13"/>
      <c r="J37" s="13"/>
      <c r="K37" s="14"/>
      <c r="N37" s="16" t="str">
        <f aca="false">IF(L37="","",L37*M37)</f>
        <v/>
      </c>
      <c r="O37" s="13"/>
      <c r="P37" s="13"/>
      <c r="Q37" s="13"/>
      <c r="R37" s="13"/>
      <c r="T37" s="13"/>
      <c r="U37" s="13"/>
      <c r="Z37" s="13"/>
      <c r="AA37" s="13"/>
    </row>
    <row r="38" customFormat="false" ht="15" hidden="false" customHeight="true" outlineLevel="0" collapsed="false">
      <c r="C38" s="13"/>
      <c r="E38" s="13"/>
      <c r="F38" s="13"/>
      <c r="G38" s="13"/>
      <c r="H38" s="13"/>
      <c r="J38" s="13"/>
      <c r="K38" s="14"/>
      <c r="N38" s="16" t="str">
        <f aca="false">IF(L38="","",L38*M38)</f>
        <v/>
      </c>
      <c r="O38" s="13"/>
      <c r="P38" s="13"/>
      <c r="Q38" s="13"/>
      <c r="R38" s="13"/>
      <c r="T38" s="13"/>
      <c r="U38" s="13"/>
      <c r="Z38" s="13"/>
      <c r="AA38" s="13"/>
    </row>
    <row r="39" customFormat="false" ht="15" hidden="false" customHeight="true" outlineLevel="0" collapsed="false">
      <c r="C39" s="13"/>
      <c r="E39" s="13"/>
      <c r="F39" s="13"/>
      <c r="G39" s="13"/>
      <c r="H39" s="13"/>
      <c r="J39" s="13"/>
      <c r="K39" s="14"/>
      <c r="N39" s="16" t="str">
        <f aca="false">IF(L39="","",L39*M39)</f>
        <v/>
      </c>
      <c r="O39" s="13"/>
      <c r="P39" s="13"/>
      <c r="Q39" s="13"/>
      <c r="R39" s="13"/>
      <c r="T39" s="13"/>
      <c r="U39" s="13"/>
      <c r="Z39" s="13"/>
      <c r="AA39" s="13"/>
    </row>
    <row r="40" customFormat="false" ht="15" hidden="false" customHeight="true" outlineLevel="0" collapsed="false">
      <c r="C40" s="13"/>
      <c r="E40" s="13"/>
      <c r="F40" s="13"/>
      <c r="G40" s="13"/>
      <c r="H40" s="13"/>
      <c r="J40" s="13"/>
      <c r="K40" s="14"/>
      <c r="N40" s="16" t="str">
        <f aca="false">IF(L40="","",L40*M40)</f>
        <v/>
      </c>
      <c r="O40" s="13"/>
      <c r="P40" s="13"/>
      <c r="Q40" s="13"/>
      <c r="R40" s="13"/>
      <c r="T40" s="13"/>
      <c r="U40" s="13"/>
      <c r="Z40" s="13"/>
      <c r="AA40" s="13"/>
    </row>
    <row r="41" customFormat="false" ht="15" hidden="false" customHeight="true" outlineLevel="0" collapsed="false">
      <c r="C41" s="13"/>
      <c r="E41" s="13"/>
      <c r="F41" s="13"/>
      <c r="G41" s="13"/>
      <c r="H41" s="13"/>
      <c r="J41" s="13"/>
      <c r="K41" s="14"/>
      <c r="N41" s="16" t="str">
        <f aca="false">IF(L41="","",L41*M41)</f>
        <v/>
      </c>
      <c r="O41" s="13"/>
      <c r="P41" s="13"/>
      <c r="Q41" s="13"/>
      <c r="R41" s="13"/>
      <c r="T41" s="13"/>
      <c r="U41" s="13"/>
      <c r="Z41" s="13"/>
      <c r="AA41" s="13"/>
    </row>
    <row r="42" customFormat="false" ht="15" hidden="false" customHeight="true" outlineLevel="0" collapsed="false">
      <c r="C42" s="13"/>
      <c r="E42" s="13"/>
      <c r="F42" s="13"/>
      <c r="G42" s="13"/>
      <c r="H42" s="13"/>
      <c r="J42" s="13"/>
      <c r="K42" s="14"/>
      <c r="N42" s="16" t="str">
        <f aca="false">IF(L42="","",L42*M42)</f>
        <v/>
      </c>
      <c r="O42" s="13"/>
      <c r="P42" s="13"/>
      <c r="Q42" s="13"/>
      <c r="R42" s="13"/>
      <c r="T42" s="13"/>
      <c r="U42" s="13"/>
      <c r="Z42" s="13"/>
      <c r="AA42" s="13"/>
    </row>
    <row r="43" customFormat="false" ht="15" hidden="false" customHeight="true" outlineLevel="0" collapsed="false">
      <c r="C43" s="13"/>
      <c r="E43" s="13"/>
      <c r="F43" s="13"/>
      <c r="G43" s="13"/>
      <c r="H43" s="13"/>
      <c r="J43" s="13"/>
      <c r="K43" s="14"/>
      <c r="N43" s="16" t="str">
        <f aca="false">IF(L43="","",L43*M43)</f>
        <v/>
      </c>
      <c r="O43" s="13"/>
      <c r="P43" s="13"/>
      <c r="Q43" s="13"/>
      <c r="R43" s="13"/>
      <c r="T43" s="13"/>
      <c r="U43" s="13"/>
      <c r="Z43" s="13"/>
      <c r="AA43" s="13"/>
    </row>
    <row r="44" customFormat="false" ht="15" hidden="false" customHeight="true" outlineLevel="0" collapsed="false">
      <c r="C44" s="13"/>
      <c r="E44" s="13"/>
      <c r="F44" s="13"/>
      <c r="G44" s="13"/>
      <c r="H44" s="13"/>
      <c r="J44" s="13"/>
      <c r="K44" s="14"/>
      <c r="N44" s="16" t="str">
        <f aca="false">IF(L44="","",L44*M44)</f>
        <v/>
      </c>
      <c r="O44" s="13"/>
      <c r="P44" s="13"/>
      <c r="Q44" s="13"/>
      <c r="R44" s="13"/>
      <c r="T44" s="13"/>
      <c r="U44" s="13"/>
      <c r="Z44" s="13"/>
      <c r="AA44" s="13"/>
    </row>
    <row r="45" customFormat="false" ht="15" hidden="false" customHeight="true" outlineLevel="0" collapsed="false">
      <c r="C45" s="13"/>
      <c r="E45" s="13"/>
      <c r="F45" s="13"/>
      <c r="G45" s="13"/>
      <c r="H45" s="13"/>
      <c r="J45" s="13"/>
      <c r="K45" s="14"/>
      <c r="N45" s="16" t="str">
        <f aca="false">IF(L45="","",L45*M45)</f>
        <v/>
      </c>
      <c r="O45" s="13"/>
      <c r="P45" s="13"/>
      <c r="Q45" s="13"/>
      <c r="R45" s="13"/>
      <c r="T45" s="13"/>
      <c r="U45" s="13"/>
      <c r="Z45" s="13"/>
      <c r="AA45" s="13"/>
    </row>
    <row r="46" customFormat="false" ht="15" hidden="false" customHeight="true" outlineLevel="0" collapsed="false">
      <c r="C46" s="13"/>
      <c r="E46" s="13"/>
      <c r="F46" s="13"/>
      <c r="G46" s="13"/>
      <c r="H46" s="13"/>
      <c r="J46" s="13"/>
      <c r="K46" s="14"/>
      <c r="N46" s="16" t="str">
        <f aca="false">IF(L46="","",L46*M46)</f>
        <v/>
      </c>
      <c r="O46" s="13"/>
      <c r="P46" s="13"/>
      <c r="Q46" s="13"/>
      <c r="R46" s="13"/>
      <c r="T46" s="13"/>
      <c r="U46" s="13"/>
      <c r="Z46" s="13"/>
      <c r="AA46" s="13"/>
    </row>
    <row r="47" customFormat="false" ht="15" hidden="false" customHeight="true" outlineLevel="0" collapsed="false">
      <c r="C47" s="13"/>
      <c r="E47" s="13"/>
      <c r="F47" s="13"/>
      <c r="G47" s="13"/>
      <c r="H47" s="13"/>
      <c r="J47" s="13"/>
      <c r="K47" s="14"/>
      <c r="N47" s="16" t="str">
        <f aca="false">IF(L47="","",L47*M47)</f>
        <v/>
      </c>
      <c r="O47" s="13"/>
      <c r="P47" s="13"/>
      <c r="Q47" s="13"/>
      <c r="R47" s="13"/>
      <c r="T47" s="13"/>
      <c r="U47" s="13"/>
      <c r="Z47" s="13"/>
      <c r="AA47" s="13"/>
    </row>
    <row r="48" customFormat="false" ht="15" hidden="false" customHeight="true" outlineLevel="0" collapsed="false">
      <c r="C48" s="13"/>
      <c r="E48" s="13"/>
      <c r="F48" s="13"/>
      <c r="G48" s="13"/>
      <c r="H48" s="13"/>
      <c r="J48" s="13"/>
      <c r="K48" s="14"/>
      <c r="N48" s="16" t="str">
        <f aca="false">IF(L48="","",L48*M48)</f>
        <v/>
      </c>
      <c r="O48" s="13"/>
      <c r="P48" s="13"/>
      <c r="Q48" s="13"/>
      <c r="R48" s="13"/>
      <c r="T48" s="13"/>
      <c r="U48" s="13"/>
      <c r="Z48" s="13"/>
      <c r="AA48" s="13"/>
    </row>
    <row r="49" customFormat="false" ht="15" hidden="false" customHeight="true" outlineLevel="0" collapsed="false">
      <c r="C49" s="13"/>
      <c r="E49" s="13"/>
      <c r="F49" s="13"/>
      <c r="G49" s="13"/>
      <c r="H49" s="13"/>
      <c r="J49" s="13"/>
      <c r="K49" s="14"/>
      <c r="N49" s="16" t="str">
        <f aca="false">IF(L49="","",L49*M49)</f>
        <v/>
      </c>
      <c r="O49" s="13"/>
      <c r="P49" s="13"/>
      <c r="Q49" s="13"/>
      <c r="R49" s="13"/>
      <c r="T49" s="13"/>
      <c r="U49" s="13"/>
      <c r="Z49" s="13"/>
      <c r="AA49" s="13"/>
    </row>
    <row r="50" customFormat="false" ht="15" hidden="false" customHeight="true" outlineLevel="0" collapsed="false">
      <c r="C50" s="13"/>
      <c r="E50" s="13"/>
      <c r="F50" s="13"/>
      <c r="G50" s="13"/>
      <c r="H50" s="13"/>
      <c r="J50" s="13"/>
      <c r="K50" s="14"/>
      <c r="N50" s="16" t="str">
        <f aca="false">IF(L50="","",L50*M50)</f>
        <v/>
      </c>
      <c r="O50" s="13"/>
      <c r="P50" s="13"/>
      <c r="Q50" s="13"/>
      <c r="R50" s="13"/>
      <c r="T50" s="13"/>
      <c r="U50" s="13"/>
      <c r="Z50" s="13"/>
      <c r="AA50" s="13"/>
    </row>
    <row r="51" customFormat="false" ht="15" hidden="false" customHeight="true" outlineLevel="0" collapsed="false">
      <c r="C51" s="13"/>
      <c r="E51" s="13"/>
      <c r="F51" s="13"/>
      <c r="G51" s="13"/>
      <c r="H51" s="13"/>
      <c r="J51" s="13"/>
      <c r="K51" s="14"/>
      <c r="N51" s="16" t="str">
        <f aca="false">IF(L51="","",L51*M51)</f>
        <v/>
      </c>
      <c r="O51" s="13"/>
      <c r="P51" s="13"/>
      <c r="Q51" s="13"/>
      <c r="R51" s="13"/>
      <c r="T51" s="13"/>
      <c r="U51" s="13"/>
      <c r="Z51" s="13"/>
      <c r="AA51" s="13"/>
    </row>
    <row r="52" customFormat="false" ht="15" hidden="false" customHeight="true" outlineLevel="0" collapsed="false">
      <c r="C52" s="13"/>
      <c r="E52" s="13"/>
      <c r="F52" s="13"/>
      <c r="G52" s="13"/>
      <c r="H52" s="13"/>
      <c r="J52" s="13"/>
      <c r="K52" s="14"/>
      <c r="N52" s="16" t="str">
        <f aca="false">IF(L52="","",L52*M52)</f>
        <v/>
      </c>
      <c r="O52" s="13"/>
      <c r="P52" s="13"/>
      <c r="Q52" s="13"/>
      <c r="R52" s="13"/>
      <c r="T52" s="13"/>
      <c r="U52" s="13"/>
      <c r="Z52" s="13"/>
      <c r="AA52" s="13"/>
    </row>
    <row r="53" customFormat="false" ht="15" hidden="false" customHeight="true" outlineLevel="0" collapsed="false">
      <c r="C53" s="13"/>
      <c r="E53" s="13"/>
      <c r="F53" s="13"/>
      <c r="G53" s="13"/>
      <c r="H53" s="13"/>
      <c r="J53" s="13"/>
      <c r="K53" s="14"/>
      <c r="N53" s="16" t="str">
        <f aca="false">IF(L53="","",L53*M53)</f>
        <v/>
      </c>
      <c r="O53" s="13"/>
      <c r="P53" s="13"/>
      <c r="Q53" s="13"/>
      <c r="R53" s="13"/>
      <c r="T53" s="13"/>
      <c r="U53" s="13"/>
      <c r="Z53" s="13"/>
      <c r="AA53" s="13"/>
    </row>
    <row r="54" customFormat="false" ht="15" hidden="false" customHeight="true" outlineLevel="0" collapsed="false">
      <c r="C54" s="13"/>
      <c r="E54" s="13"/>
      <c r="F54" s="13"/>
      <c r="G54" s="13"/>
      <c r="H54" s="13"/>
      <c r="J54" s="13"/>
      <c r="K54" s="14"/>
      <c r="N54" s="16" t="str">
        <f aca="false">IF(L54="","",L54*M54)</f>
        <v/>
      </c>
      <c r="O54" s="13"/>
      <c r="P54" s="13"/>
      <c r="Q54" s="13"/>
      <c r="R54" s="13"/>
      <c r="T54" s="13"/>
      <c r="U54" s="13"/>
      <c r="Z54" s="13"/>
      <c r="AA54" s="13"/>
    </row>
    <row r="55" customFormat="false" ht="15" hidden="false" customHeight="true" outlineLevel="0" collapsed="false">
      <c r="C55" s="13"/>
      <c r="E55" s="13"/>
      <c r="F55" s="13"/>
      <c r="G55" s="13"/>
      <c r="H55" s="13"/>
      <c r="J55" s="13"/>
      <c r="K55" s="14"/>
      <c r="N55" s="16" t="str">
        <f aca="false">IF(L55="","",L55*M55)</f>
        <v/>
      </c>
      <c r="O55" s="13"/>
      <c r="P55" s="13"/>
      <c r="Q55" s="13"/>
      <c r="R55" s="13"/>
      <c r="T55" s="13"/>
      <c r="U55" s="13"/>
      <c r="Z55" s="13"/>
      <c r="AA55" s="13"/>
    </row>
    <row r="56" customFormat="false" ht="15" hidden="false" customHeight="true" outlineLevel="0" collapsed="false">
      <c r="C56" s="13"/>
      <c r="E56" s="13"/>
      <c r="F56" s="13"/>
      <c r="G56" s="13"/>
      <c r="H56" s="13"/>
      <c r="J56" s="13"/>
      <c r="K56" s="14"/>
      <c r="N56" s="16" t="str">
        <f aca="false">IF(L56="","",L56*M56)</f>
        <v/>
      </c>
      <c r="O56" s="13"/>
      <c r="P56" s="13"/>
      <c r="Q56" s="13"/>
      <c r="R56" s="13"/>
      <c r="T56" s="13"/>
      <c r="U56" s="13"/>
      <c r="Z56" s="13"/>
      <c r="AA56" s="13"/>
    </row>
    <row r="57" customFormat="false" ht="15" hidden="false" customHeight="true" outlineLevel="0" collapsed="false">
      <c r="C57" s="13"/>
      <c r="E57" s="13"/>
      <c r="F57" s="13"/>
      <c r="G57" s="13"/>
      <c r="H57" s="13"/>
      <c r="J57" s="13"/>
      <c r="K57" s="14"/>
      <c r="N57" s="16" t="str">
        <f aca="false">IF(L57="","",L57*M57)</f>
        <v/>
      </c>
      <c r="O57" s="13"/>
      <c r="P57" s="13"/>
      <c r="Q57" s="13"/>
      <c r="R57" s="13"/>
      <c r="T57" s="13"/>
      <c r="U57" s="13"/>
      <c r="Z57" s="13"/>
      <c r="AA57" s="13"/>
    </row>
    <row r="58" customFormat="false" ht="15" hidden="false" customHeight="true" outlineLevel="0" collapsed="false">
      <c r="C58" s="13"/>
      <c r="E58" s="13"/>
      <c r="F58" s="13"/>
      <c r="G58" s="13"/>
      <c r="H58" s="13"/>
      <c r="J58" s="13"/>
      <c r="K58" s="14"/>
      <c r="N58" s="16" t="str">
        <f aca="false">IF(L58="","",L58*M58)</f>
        <v/>
      </c>
      <c r="O58" s="13"/>
      <c r="P58" s="13"/>
      <c r="Q58" s="13"/>
      <c r="R58" s="13"/>
      <c r="T58" s="13"/>
      <c r="U58" s="13"/>
      <c r="Z58" s="13"/>
      <c r="AA58" s="13"/>
    </row>
    <row r="59" customFormat="false" ht="15" hidden="false" customHeight="true" outlineLevel="0" collapsed="false">
      <c r="C59" s="13"/>
      <c r="E59" s="13"/>
      <c r="F59" s="13"/>
      <c r="G59" s="13"/>
      <c r="H59" s="13"/>
      <c r="J59" s="13"/>
      <c r="K59" s="14"/>
      <c r="N59" s="16" t="str">
        <f aca="false">IF(L59="","",L59*M59)</f>
        <v/>
      </c>
      <c r="O59" s="13"/>
      <c r="P59" s="13"/>
      <c r="Q59" s="13"/>
      <c r="R59" s="13"/>
      <c r="T59" s="13"/>
      <c r="U59" s="13"/>
      <c r="Z59" s="13"/>
      <c r="AA59" s="13"/>
    </row>
    <row r="60" customFormat="false" ht="15" hidden="false" customHeight="true" outlineLevel="0" collapsed="false">
      <c r="C60" s="13"/>
      <c r="E60" s="13"/>
      <c r="F60" s="13"/>
      <c r="G60" s="13"/>
      <c r="H60" s="13"/>
      <c r="J60" s="13"/>
      <c r="K60" s="14"/>
      <c r="N60" s="16" t="str">
        <f aca="false">IF(L60="","",L60*M60)</f>
        <v/>
      </c>
      <c r="O60" s="13"/>
      <c r="P60" s="13"/>
      <c r="Q60" s="13"/>
      <c r="R60" s="13"/>
      <c r="T60" s="13"/>
      <c r="U60" s="13"/>
      <c r="Z60" s="13"/>
      <c r="AA60" s="13"/>
    </row>
    <row r="61" customFormat="false" ht="15" hidden="false" customHeight="true" outlineLevel="0" collapsed="false">
      <c r="C61" s="13"/>
      <c r="E61" s="13"/>
      <c r="F61" s="13"/>
      <c r="G61" s="13"/>
      <c r="H61" s="13"/>
      <c r="J61" s="13"/>
      <c r="K61" s="14"/>
      <c r="N61" s="16" t="str">
        <f aca="false">IF(L61="","",L61*M61)</f>
        <v/>
      </c>
      <c r="O61" s="13"/>
      <c r="P61" s="13"/>
      <c r="Q61" s="13"/>
      <c r="R61" s="13"/>
      <c r="T61" s="13"/>
      <c r="U61" s="13"/>
      <c r="Z61" s="13"/>
      <c r="AA61" s="13"/>
    </row>
    <row r="62" customFormat="false" ht="15" hidden="false" customHeight="true" outlineLevel="0" collapsed="false">
      <c r="C62" s="13"/>
      <c r="E62" s="13"/>
      <c r="F62" s="13"/>
      <c r="G62" s="13"/>
      <c r="H62" s="13"/>
      <c r="J62" s="13"/>
      <c r="K62" s="14"/>
      <c r="N62" s="16" t="str">
        <f aca="false">IF(L62="","",L62*M62)</f>
        <v/>
      </c>
      <c r="O62" s="13"/>
      <c r="P62" s="13"/>
      <c r="Q62" s="13"/>
      <c r="R62" s="13"/>
      <c r="T62" s="13"/>
      <c r="U62" s="13"/>
      <c r="Z62" s="13"/>
      <c r="AA62" s="13"/>
    </row>
    <row r="63" customFormat="false" ht="15" hidden="false" customHeight="true" outlineLevel="0" collapsed="false">
      <c r="C63" s="13"/>
      <c r="E63" s="13"/>
      <c r="F63" s="13"/>
      <c r="G63" s="13"/>
      <c r="H63" s="13"/>
      <c r="J63" s="13"/>
      <c r="K63" s="14"/>
      <c r="N63" s="16" t="str">
        <f aca="false">IF(L63="","",L63*M63)</f>
        <v/>
      </c>
      <c r="O63" s="13"/>
      <c r="P63" s="13"/>
      <c r="Q63" s="13"/>
      <c r="R63" s="13"/>
      <c r="T63" s="13"/>
      <c r="U63" s="13"/>
      <c r="Z63" s="13"/>
      <c r="AA63" s="13"/>
    </row>
    <row r="64" customFormat="false" ht="15" hidden="false" customHeight="true" outlineLevel="0" collapsed="false">
      <c r="C64" s="13"/>
      <c r="E64" s="13"/>
      <c r="F64" s="13"/>
      <c r="G64" s="13"/>
      <c r="H64" s="13"/>
      <c r="J64" s="13"/>
      <c r="K64" s="14"/>
      <c r="N64" s="16" t="str">
        <f aca="false">IF(L64="","",L64*M64)</f>
        <v/>
      </c>
      <c r="O64" s="13"/>
      <c r="P64" s="13"/>
      <c r="Q64" s="13"/>
      <c r="R64" s="13"/>
      <c r="T64" s="13"/>
      <c r="U64" s="13"/>
      <c r="Z64" s="13"/>
      <c r="AA64" s="13"/>
    </row>
    <row r="65" customFormat="false" ht="15" hidden="false" customHeight="true" outlineLevel="0" collapsed="false">
      <c r="C65" s="13"/>
      <c r="E65" s="13"/>
      <c r="F65" s="13"/>
      <c r="G65" s="13"/>
      <c r="H65" s="13"/>
      <c r="J65" s="13"/>
      <c r="K65" s="14"/>
      <c r="N65" s="16" t="str">
        <f aca="false">IF(L65="","",L65*M65)</f>
        <v/>
      </c>
      <c r="O65" s="13"/>
      <c r="P65" s="13"/>
      <c r="Q65" s="13"/>
      <c r="R65" s="13"/>
      <c r="T65" s="13"/>
      <c r="U65" s="13"/>
      <c r="Z65" s="13"/>
      <c r="AA65" s="13"/>
    </row>
    <row r="66" customFormat="false" ht="15" hidden="false" customHeight="true" outlineLevel="0" collapsed="false">
      <c r="C66" s="13"/>
      <c r="E66" s="13"/>
      <c r="F66" s="13"/>
      <c r="G66" s="13"/>
      <c r="H66" s="13"/>
      <c r="J66" s="13"/>
      <c r="K66" s="14"/>
      <c r="N66" s="16" t="str">
        <f aca="false">IF(L66="","",L66*M66)</f>
        <v/>
      </c>
      <c r="O66" s="13"/>
      <c r="P66" s="13"/>
      <c r="Q66" s="13"/>
      <c r="R66" s="13"/>
      <c r="T66" s="13"/>
      <c r="U66" s="13"/>
      <c r="Z66" s="13"/>
      <c r="AA66" s="13"/>
    </row>
    <row r="67" customFormat="false" ht="15" hidden="false" customHeight="true" outlineLevel="0" collapsed="false">
      <c r="C67" s="13"/>
      <c r="E67" s="13"/>
      <c r="F67" s="13"/>
      <c r="G67" s="13"/>
      <c r="H67" s="13"/>
      <c r="J67" s="13"/>
      <c r="K67" s="14"/>
      <c r="N67" s="16" t="str">
        <f aca="false">IF(L67="","",L67*M67)</f>
        <v/>
      </c>
      <c r="O67" s="13"/>
      <c r="P67" s="13"/>
      <c r="Q67" s="13"/>
      <c r="R67" s="13"/>
      <c r="T67" s="13"/>
      <c r="U67" s="13"/>
      <c r="Z67" s="13"/>
      <c r="AA67" s="13"/>
    </row>
    <row r="68" customFormat="false" ht="15" hidden="false" customHeight="true" outlineLevel="0" collapsed="false">
      <c r="C68" s="13"/>
      <c r="E68" s="13"/>
      <c r="F68" s="13"/>
      <c r="G68" s="13"/>
      <c r="H68" s="13"/>
      <c r="J68" s="13"/>
      <c r="K68" s="14"/>
      <c r="N68" s="16" t="str">
        <f aca="false">IF(L68="","",L68*M68)</f>
        <v/>
      </c>
      <c r="O68" s="13"/>
      <c r="P68" s="13"/>
      <c r="Q68" s="13"/>
      <c r="R68" s="13"/>
      <c r="T68" s="13"/>
      <c r="U68" s="13"/>
      <c r="Z68" s="13"/>
      <c r="AA68" s="13"/>
    </row>
    <row r="69" customFormat="false" ht="15" hidden="false" customHeight="true" outlineLevel="0" collapsed="false">
      <c r="C69" s="13"/>
      <c r="E69" s="13"/>
      <c r="F69" s="13"/>
      <c r="G69" s="13"/>
      <c r="H69" s="13"/>
      <c r="J69" s="13"/>
      <c r="K69" s="14"/>
      <c r="N69" s="16" t="str">
        <f aca="false">IF(L69="","",L69*M69)</f>
        <v/>
      </c>
      <c r="O69" s="13"/>
      <c r="P69" s="13"/>
      <c r="Q69" s="13"/>
      <c r="R69" s="13"/>
      <c r="T69" s="13"/>
      <c r="U69" s="13"/>
      <c r="Z69" s="13"/>
      <c r="AA69" s="13"/>
    </row>
    <row r="70" customFormat="false" ht="15" hidden="false" customHeight="true" outlineLevel="0" collapsed="false">
      <c r="C70" s="13"/>
      <c r="E70" s="13"/>
      <c r="F70" s="13"/>
      <c r="G70" s="13"/>
      <c r="H70" s="13"/>
      <c r="J70" s="13"/>
      <c r="K70" s="14"/>
      <c r="N70" s="16" t="str">
        <f aca="false">IF(L70="","",L70*M70)</f>
        <v/>
      </c>
      <c r="O70" s="13"/>
      <c r="P70" s="13"/>
      <c r="Q70" s="13"/>
      <c r="R70" s="13"/>
      <c r="T70" s="13"/>
      <c r="U70" s="13"/>
      <c r="Z70" s="13"/>
      <c r="AA70" s="13"/>
    </row>
    <row r="71" customFormat="false" ht="15" hidden="false" customHeight="true" outlineLevel="0" collapsed="false">
      <c r="C71" s="13"/>
      <c r="E71" s="13"/>
      <c r="F71" s="13"/>
      <c r="G71" s="13"/>
      <c r="H71" s="13"/>
      <c r="J71" s="13"/>
      <c r="K71" s="14"/>
      <c r="N71" s="16" t="str">
        <f aca="false">IF(L71="","",L71*M71)</f>
        <v/>
      </c>
      <c r="O71" s="13"/>
      <c r="P71" s="13"/>
      <c r="Q71" s="13"/>
      <c r="R71" s="13"/>
      <c r="T71" s="13"/>
      <c r="U71" s="13"/>
      <c r="Z71" s="13"/>
      <c r="AA71" s="13"/>
    </row>
    <row r="72" customFormat="false" ht="15" hidden="false" customHeight="true" outlineLevel="0" collapsed="false">
      <c r="C72" s="13"/>
      <c r="E72" s="13"/>
      <c r="F72" s="13"/>
      <c r="G72" s="13"/>
      <c r="H72" s="13"/>
      <c r="J72" s="13"/>
      <c r="K72" s="14"/>
      <c r="N72" s="16" t="str">
        <f aca="false">IF(L72="","",L72*M72)</f>
        <v/>
      </c>
      <c r="O72" s="13"/>
      <c r="P72" s="13"/>
      <c r="Q72" s="13"/>
      <c r="R72" s="13"/>
      <c r="T72" s="13"/>
      <c r="U72" s="13"/>
      <c r="Z72" s="13"/>
      <c r="AA72" s="13"/>
    </row>
    <row r="73" customFormat="false" ht="15" hidden="false" customHeight="true" outlineLevel="0" collapsed="false">
      <c r="C73" s="13"/>
      <c r="E73" s="13"/>
      <c r="F73" s="13"/>
      <c r="G73" s="13"/>
      <c r="H73" s="13"/>
      <c r="J73" s="13"/>
      <c r="K73" s="14"/>
      <c r="N73" s="16" t="str">
        <f aca="false">IF(L73="","",L73*M73)</f>
        <v/>
      </c>
      <c r="O73" s="13"/>
      <c r="P73" s="13"/>
      <c r="Q73" s="13"/>
      <c r="R73" s="13"/>
      <c r="T73" s="13"/>
      <c r="U73" s="13"/>
      <c r="Z73" s="13"/>
      <c r="AA73" s="13"/>
    </row>
    <row r="74" customFormat="false" ht="15" hidden="false" customHeight="true" outlineLevel="0" collapsed="false">
      <c r="C74" s="13"/>
      <c r="E74" s="13"/>
      <c r="F74" s="13"/>
      <c r="G74" s="13"/>
      <c r="H74" s="13"/>
      <c r="J74" s="13"/>
      <c r="K74" s="14"/>
      <c r="N74" s="16" t="str">
        <f aca="false">IF(L74="","",L74*M74)</f>
        <v/>
      </c>
      <c r="O74" s="13"/>
      <c r="P74" s="13"/>
      <c r="Q74" s="13"/>
      <c r="R74" s="13"/>
      <c r="T74" s="13"/>
      <c r="U74" s="13"/>
      <c r="Z74" s="13"/>
      <c r="AA74" s="13"/>
    </row>
    <row r="75" customFormat="false" ht="15" hidden="false" customHeight="true" outlineLevel="0" collapsed="false">
      <c r="C75" s="13"/>
      <c r="E75" s="13"/>
      <c r="F75" s="13"/>
      <c r="G75" s="13"/>
      <c r="H75" s="13"/>
      <c r="J75" s="13"/>
      <c r="K75" s="14"/>
      <c r="N75" s="16" t="str">
        <f aca="false">IF(L75="","",L75*M75)</f>
        <v/>
      </c>
      <c r="O75" s="13"/>
      <c r="P75" s="13"/>
      <c r="Q75" s="13"/>
      <c r="R75" s="13"/>
      <c r="T75" s="13"/>
      <c r="U75" s="13"/>
      <c r="Z75" s="13"/>
      <c r="AA75" s="13"/>
    </row>
    <row r="76" customFormat="false" ht="15" hidden="false" customHeight="true" outlineLevel="0" collapsed="false">
      <c r="C76" s="13"/>
      <c r="E76" s="13"/>
      <c r="F76" s="13"/>
      <c r="G76" s="13"/>
      <c r="H76" s="13"/>
      <c r="J76" s="13"/>
      <c r="K76" s="14"/>
      <c r="N76" s="16" t="str">
        <f aca="false">IF(L76="","",L76*M76)</f>
        <v/>
      </c>
      <c r="O76" s="13"/>
      <c r="P76" s="13"/>
      <c r="Q76" s="13"/>
      <c r="R76" s="13"/>
      <c r="T76" s="13"/>
      <c r="U76" s="13"/>
      <c r="Z76" s="13"/>
      <c r="AA76" s="13"/>
    </row>
    <row r="77" customFormat="false" ht="15" hidden="false" customHeight="true" outlineLevel="0" collapsed="false">
      <c r="C77" s="13"/>
      <c r="E77" s="13"/>
      <c r="F77" s="13"/>
      <c r="G77" s="13"/>
      <c r="H77" s="13"/>
      <c r="J77" s="13"/>
      <c r="K77" s="14"/>
      <c r="N77" s="16" t="str">
        <f aca="false">IF(L77="","",L77*M77)</f>
        <v/>
      </c>
      <c r="O77" s="13"/>
      <c r="P77" s="13"/>
      <c r="Q77" s="13"/>
      <c r="R77" s="13"/>
      <c r="T77" s="13"/>
      <c r="U77" s="13"/>
      <c r="Z77" s="13"/>
      <c r="AA77" s="13"/>
    </row>
    <row r="78" customFormat="false" ht="15" hidden="false" customHeight="true" outlineLevel="0" collapsed="false">
      <c r="C78" s="13"/>
      <c r="E78" s="13"/>
      <c r="F78" s="13"/>
      <c r="G78" s="13"/>
      <c r="H78" s="13"/>
      <c r="J78" s="13"/>
      <c r="K78" s="14"/>
      <c r="N78" s="16" t="str">
        <f aca="false">IF(L78="","",L78*M78)</f>
        <v/>
      </c>
      <c r="O78" s="13"/>
      <c r="P78" s="13"/>
      <c r="Q78" s="13"/>
      <c r="R78" s="13"/>
      <c r="T78" s="13"/>
      <c r="U78" s="13"/>
      <c r="Z78" s="13"/>
      <c r="AA78" s="13"/>
    </row>
    <row r="79" customFormat="false" ht="15" hidden="false" customHeight="true" outlineLevel="0" collapsed="false">
      <c r="C79" s="13"/>
      <c r="E79" s="13"/>
      <c r="F79" s="13"/>
      <c r="G79" s="13"/>
      <c r="H79" s="13"/>
      <c r="J79" s="13"/>
      <c r="K79" s="14"/>
      <c r="N79" s="16" t="str">
        <f aca="false">IF(L79="","",L79*M79)</f>
        <v/>
      </c>
      <c r="O79" s="13"/>
      <c r="P79" s="13"/>
      <c r="Q79" s="13"/>
      <c r="R79" s="13"/>
      <c r="T79" s="13"/>
      <c r="U79" s="13"/>
      <c r="Z79" s="13"/>
      <c r="AA79" s="13"/>
    </row>
    <row r="80" customFormat="false" ht="15" hidden="false" customHeight="true" outlineLevel="0" collapsed="false">
      <c r="C80" s="13"/>
      <c r="E80" s="13"/>
      <c r="F80" s="13"/>
      <c r="G80" s="13"/>
      <c r="H80" s="13"/>
      <c r="J80" s="13"/>
      <c r="K80" s="14"/>
      <c r="N80" s="16" t="str">
        <f aca="false">IF(L80="","",L80*M80)</f>
        <v/>
      </c>
      <c r="O80" s="13"/>
      <c r="P80" s="13"/>
      <c r="Q80" s="13"/>
      <c r="R80" s="13"/>
      <c r="T80" s="13"/>
      <c r="U80" s="13"/>
      <c r="Z80" s="13"/>
      <c r="AA80" s="13"/>
    </row>
    <row r="81" customFormat="false" ht="15" hidden="false" customHeight="true" outlineLevel="0" collapsed="false">
      <c r="C81" s="13"/>
      <c r="E81" s="13"/>
      <c r="F81" s="13"/>
      <c r="G81" s="13"/>
      <c r="H81" s="13"/>
      <c r="J81" s="13"/>
      <c r="K81" s="14"/>
      <c r="N81" s="16" t="str">
        <f aca="false">IF(L81="","",L81*M81)</f>
        <v/>
      </c>
      <c r="O81" s="13"/>
      <c r="P81" s="13"/>
      <c r="Q81" s="13"/>
      <c r="R81" s="13"/>
      <c r="T81" s="13"/>
      <c r="U81" s="13"/>
      <c r="Z81" s="13"/>
      <c r="AA81" s="13"/>
    </row>
    <row r="82" customFormat="false" ht="15" hidden="false" customHeight="true" outlineLevel="0" collapsed="false">
      <c r="C82" s="13"/>
      <c r="E82" s="13"/>
      <c r="F82" s="13"/>
      <c r="G82" s="13"/>
      <c r="H82" s="13"/>
      <c r="J82" s="13"/>
      <c r="K82" s="14"/>
      <c r="N82" s="16" t="str">
        <f aca="false">IF(L82="","",L82*M82)</f>
        <v/>
      </c>
      <c r="O82" s="13"/>
      <c r="P82" s="13"/>
      <c r="Q82" s="13"/>
      <c r="R82" s="13"/>
      <c r="T82" s="13"/>
      <c r="U82" s="13"/>
      <c r="Z82" s="13"/>
      <c r="AA82" s="13"/>
    </row>
    <row r="83" customFormat="false" ht="15" hidden="false" customHeight="true" outlineLevel="0" collapsed="false">
      <c r="C83" s="13"/>
      <c r="E83" s="13"/>
      <c r="F83" s="13"/>
      <c r="G83" s="13"/>
      <c r="H83" s="13"/>
      <c r="J83" s="13"/>
      <c r="K83" s="14"/>
      <c r="N83" s="16" t="str">
        <f aca="false">IF(L83="","",L83*M83)</f>
        <v/>
      </c>
      <c r="O83" s="13"/>
      <c r="P83" s="13"/>
      <c r="Q83" s="13"/>
      <c r="R83" s="13"/>
      <c r="T83" s="13"/>
      <c r="U83" s="13"/>
      <c r="Z83" s="13"/>
      <c r="AA83" s="13"/>
    </row>
    <row r="84" customFormat="false" ht="15" hidden="false" customHeight="true" outlineLevel="0" collapsed="false">
      <c r="C84" s="13"/>
      <c r="E84" s="13"/>
      <c r="F84" s="13"/>
      <c r="G84" s="13"/>
      <c r="H84" s="13"/>
      <c r="J84" s="13"/>
      <c r="K84" s="14"/>
      <c r="N84" s="16" t="str">
        <f aca="false">IF(L84="","",L84*M84)</f>
        <v/>
      </c>
      <c r="O84" s="13"/>
      <c r="P84" s="13"/>
      <c r="Q84" s="13"/>
      <c r="R84" s="13"/>
      <c r="T84" s="13"/>
      <c r="U84" s="13"/>
      <c r="Z84" s="13"/>
      <c r="AA84" s="13"/>
    </row>
    <row r="85" customFormat="false" ht="15" hidden="false" customHeight="true" outlineLevel="0" collapsed="false">
      <c r="C85" s="13"/>
      <c r="E85" s="13"/>
      <c r="F85" s="13"/>
      <c r="G85" s="13"/>
      <c r="H85" s="13"/>
      <c r="J85" s="13"/>
      <c r="K85" s="14"/>
      <c r="N85" s="16" t="str">
        <f aca="false">IF(L85="","",L85*M85)</f>
        <v/>
      </c>
      <c r="O85" s="13"/>
      <c r="P85" s="13"/>
      <c r="Q85" s="13"/>
      <c r="R85" s="13"/>
      <c r="T85" s="13"/>
      <c r="U85" s="13"/>
      <c r="Z85" s="13"/>
      <c r="AA85" s="13"/>
    </row>
    <row r="86" customFormat="false" ht="15" hidden="false" customHeight="true" outlineLevel="0" collapsed="false">
      <c r="C86" s="13"/>
      <c r="E86" s="13"/>
      <c r="F86" s="13"/>
      <c r="G86" s="13"/>
      <c r="H86" s="13"/>
      <c r="J86" s="13"/>
      <c r="K86" s="14"/>
      <c r="N86" s="16" t="str">
        <f aca="false">IF(L86="","",L86*M86)</f>
        <v/>
      </c>
      <c r="O86" s="13"/>
      <c r="P86" s="13"/>
      <c r="Q86" s="13"/>
      <c r="R86" s="13"/>
      <c r="T86" s="13"/>
      <c r="U86" s="13"/>
      <c r="Z86" s="13"/>
      <c r="AA86" s="13"/>
    </row>
    <row r="87" customFormat="false" ht="15" hidden="false" customHeight="true" outlineLevel="0" collapsed="false">
      <c r="C87" s="13"/>
      <c r="E87" s="13"/>
      <c r="F87" s="13"/>
      <c r="G87" s="13"/>
      <c r="H87" s="13"/>
      <c r="J87" s="13"/>
      <c r="K87" s="14"/>
      <c r="N87" s="16" t="str">
        <f aca="false">IF(L87="","",L87*M87)</f>
        <v/>
      </c>
      <c r="O87" s="13"/>
      <c r="P87" s="13"/>
      <c r="Q87" s="13"/>
      <c r="R87" s="13"/>
      <c r="T87" s="13"/>
      <c r="U87" s="13"/>
      <c r="Z87" s="13"/>
      <c r="AA87" s="13"/>
    </row>
    <row r="88" customFormat="false" ht="15" hidden="false" customHeight="true" outlineLevel="0" collapsed="false">
      <c r="C88" s="13"/>
      <c r="E88" s="13"/>
      <c r="F88" s="13"/>
      <c r="G88" s="13"/>
      <c r="H88" s="13"/>
      <c r="J88" s="13"/>
      <c r="K88" s="14"/>
      <c r="N88" s="16" t="str">
        <f aca="false">IF(L88="","",L88*M88)</f>
        <v/>
      </c>
      <c r="O88" s="13"/>
      <c r="P88" s="13"/>
      <c r="Q88" s="13"/>
      <c r="R88" s="13"/>
      <c r="T88" s="13"/>
      <c r="U88" s="13"/>
      <c r="Z88" s="13"/>
      <c r="AA88" s="13"/>
    </row>
    <row r="89" customFormat="false" ht="15" hidden="false" customHeight="true" outlineLevel="0" collapsed="false">
      <c r="C89" s="13"/>
      <c r="E89" s="13"/>
      <c r="F89" s="13"/>
      <c r="G89" s="13"/>
      <c r="H89" s="13"/>
      <c r="J89" s="13"/>
      <c r="K89" s="14"/>
      <c r="N89" s="16" t="str">
        <f aca="false">IF(L89="","",L89*M89)</f>
        <v/>
      </c>
      <c r="O89" s="13"/>
      <c r="P89" s="13"/>
      <c r="Q89" s="13"/>
      <c r="R89" s="13"/>
      <c r="T89" s="13"/>
      <c r="U89" s="13"/>
      <c r="Z89" s="13"/>
      <c r="AA89" s="13"/>
    </row>
    <row r="90" customFormat="false" ht="15" hidden="false" customHeight="true" outlineLevel="0" collapsed="false">
      <c r="C90" s="13"/>
      <c r="E90" s="13"/>
      <c r="F90" s="13"/>
      <c r="G90" s="13"/>
      <c r="H90" s="13"/>
      <c r="J90" s="13"/>
      <c r="K90" s="14"/>
      <c r="N90" s="16" t="str">
        <f aca="false">IF(L90="","",L90*M90)</f>
        <v/>
      </c>
      <c r="O90" s="13"/>
      <c r="P90" s="13"/>
      <c r="Q90" s="13"/>
      <c r="R90" s="13"/>
      <c r="T90" s="13"/>
      <c r="U90" s="13"/>
      <c r="Z90" s="13"/>
      <c r="AA90" s="13"/>
    </row>
    <row r="91" customFormat="false" ht="15" hidden="false" customHeight="true" outlineLevel="0" collapsed="false">
      <c r="C91" s="13"/>
      <c r="E91" s="13"/>
      <c r="F91" s="13"/>
      <c r="G91" s="13"/>
      <c r="H91" s="13"/>
      <c r="J91" s="13"/>
      <c r="K91" s="14"/>
      <c r="N91" s="16" t="str">
        <f aca="false">IF(L91="","",L91*M91)</f>
        <v/>
      </c>
      <c r="O91" s="13"/>
      <c r="P91" s="13"/>
      <c r="Q91" s="13"/>
      <c r="R91" s="13"/>
      <c r="T91" s="13"/>
      <c r="U91" s="13"/>
      <c r="Z91" s="13"/>
      <c r="AA91" s="13"/>
    </row>
    <row r="92" customFormat="false" ht="15" hidden="false" customHeight="true" outlineLevel="0" collapsed="false">
      <c r="C92" s="13"/>
      <c r="E92" s="13"/>
      <c r="F92" s="13"/>
      <c r="G92" s="13"/>
      <c r="H92" s="13"/>
      <c r="J92" s="13"/>
      <c r="K92" s="14"/>
      <c r="N92" s="16" t="str">
        <f aca="false">IF(L92="","",L92*M92)</f>
        <v/>
      </c>
      <c r="O92" s="13"/>
      <c r="P92" s="13"/>
      <c r="Q92" s="13"/>
      <c r="R92" s="13"/>
      <c r="T92" s="13"/>
      <c r="U92" s="13"/>
      <c r="Z92" s="13"/>
      <c r="AA92" s="13"/>
    </row>
    <row r="93" customFormat="false" ht="15" hidden="false" customHeight="true" outlineLevel="0" collapsed="false">
      <c r="C93" s="13"/>
      <c r="E93" s="13"/>
      <c r="F93" s="13"/>
      <c r="G93" s="13"/>
      <c r="H93" s="13"/>
      <c r="J93" s="13"/>
      <c r="K93" s="14"/>
      <c r="N93" s="16" t="str">
        <f aca="false">IF(L93="","",L93*M93)</f>
        <v/>
      </c>
      <c r="O93" s="13"/>
      <c r="P93" s="13"/>
      <c r="Q93" s="13"/>
      <c r="R93" s="13"/>
      <c r="T93" s="13"/>
      <c r="U93" s="13"/>
      <c r="Z93" s="13"/>
      <c r="AA93" s="13"/>
    </row>
    <row r="94" customFormat="false" ht="15" hidden="false" customHeight="true" outlineLevel="0" collapsed="false">
      <c r="C94" s="13"/>
      <c r="E94" s="13"/>
      <c r="F94" s="13"/>
      <c r="G94" s="13"/>
      <c r="H94" s="13"/>
      <c r="J94" s="13"/>
      <c r="K94" s="14"/>
      <c r="N94" s="16" t="str">
        <f aca="false">IF(L94="","",L94*M94)</f>
        <v/>
      </c>
      <c r="O94" s="13"/>
      <c r="P94" s="13"/>
      <c r="Q94" s="13"/>
      <c r="R94" s="13"/>
      <c r="T94" s="13"/>
      <c r="U94" s="13"/>
      <c r="Z94" s="13"/>
      <c r="AA94" s="13"/>
    </row>
    <row r="95" customFormat="false" ht="15" hidden="false" customHeight="true" outlineLevel="0" collapsed="false">
      <c r="C95" s="13"/>
      <c r="E95" s="13"/>
      <c r="F95" s="13"/>
      <c r="G95" s="13"/>
      <c r="H95" s="13"/>
      <c r="J95" s="13"/>
      <c r="K95" s="14"/>
      <c r="N95" s="16" t="str">
        <f aca="false">IF(L95="","",L95*M95)</f>
        <v/>
      </c>
      <c r="O95" s="13"/>
      <c r="P95" s="13"/>
      <c r="Q95" s="13"/>
      <c r="R95" s="13"/>
      <c r="T95" s="13"/>
      <c r="U95" s="13"/>
      <c r="Z95" s="13"/>
      <c r="AA95" s="13"/>
    </row>
    <row r="96" customFormat="false" ht="15" hidden="false" customHeight="true" outlineLevel="0" collapsed="false">
      <c r="C96" s="13"/>
      <c r="E96" s="13"/>
      <c r="F96" s="13"/>
      <c r="G96" s="13"/>
      <c r="H96" s="13"/>
      <c r="J96" s="13"/>
      <c r="K96" s="14"/>
      <c r="N96" s="16" t="str">
        <f aca="false">IF(L96="","",L96*M96)</f>
        <v/>
      </c>
      <c r="O96" s="13"/>
      <c r="P96" s="13"/>
      <c r="Q96" s="13"/>
      <c r="R96" s="13"/>
      <c r="T96" s="13"/>
      <c r="U96" s="13"/>
      <c r="Z96" s="13"/>
      <c r="AA96" s="13"/>
    </row>
    <row r="97" customFormat="false" ht="15" hidden="false" customHeight="true" outlineLevel="0" collapsed="false">
      <c r="C97" s="13"/>
      <c r="E97" s="13"/>
      <c r="F97" s="13"/>
      <c r="G97" s="13"/>
      <c r="H97" s="13"/>
      <c r="J97" s="13"/>
      <c r="K97" s="14"/>
      <c r="N97" s="16" t="str">
        <f aca="false">IF(L97="","",L97*M97)</f>
        <v/>
      </c>
      <c r="O97" s="13"/>
      <c r="P97" s="13"/>
      <c r="Q97" s="13"/>
      <c r="R97" s="13"/>
      <c r="T97" s="13"/>
      <c r="U97" s="13"/>
      <c r="Z97" s="13"/>
      <c r="AA97" s="13"/>
    </row>
    <row r="98" customFormat="false" ht="15" hidden="false" customHeight="true" outlineLevel="0" collapsed="false">
      <c r="C98" s="13"/>
      <c r="E98" s="13"/>
      <c r="F98" s="13"/>
      <c r="G98" s="13"/>
      <c r="H98" s="13"/>
      <c r="J98" s="13"/>
      <c r="K98" s="14"/>
      <c r="N98" s="16" t="str">
        <f aca="false">IF(L98="","",L98*M98)</f>
        <v/>
      </c>
      <c r="O98" s="13"/>
      <c r="P98" s="13"/>
      <c r="Q98" s="13"/>
      <c r="R98" s="13"/>
      <c r="T98" s="13"/>
      <c r="U98" s="13"/>
      <c r="Z98" s="13"/>
      <c r="AA98" s="13"/>
    </row>
    <row r="99" customFormat="false" ht="15" hidden="false" customHeight="true" outlineLevel="0" collapsed="false">
      <c r="C99" s="13"/>
      <c r="E99" s="13"/>
      <c r="F99" s="13"/>
      <c r="G99" s="13"/>
      <c r="H99" s="13"/>
      <c r="J99" s="13"/>
      <c r="K99" s="14"/>
      <c r="N99" s="16" t="str">
        <f aca="false">IF(L99="","",L99*M99)</f>
        <v/>
      </c>
      <c r="O99" s="13"/>
      <c r="P99" s="13"/>
      <c r="Q99" s="13"/>
      <c r="R99" s="13"/>
      <c r="T99" s="13"/>
      <c r="U99" s="13"/>
      <c r="Z99" s="13"/>
      <c r="AA99" s="13"/>
    </row>
    <row r="100" customFormat="false" ht="15" hidden="false" customHeight="true" outlineLevel="0" collapsed="false">
      <c r="C100" s="13"/>
      <c r="E100" s="13"/>
      <c r="F100" s="13"/>
      <c r="G100" s="13"/>
      <c r="H100" s="13"/>
      <c r="J100" s="13"/>
      <c r="K100" s="14"/>
      <c r="N100" s="16" t="str">
        <f aca="false">IF(L100="","",L100*M100)</f>
        <v/>
      </c>
      <c r="O100" s="13"/>
      <c r="P100" s="13"/>
      <c r="Q100" s="13"/>
      <c r="R100" s="13"/>
      <c r="T100" s="13"/>
      <c r="U100" s="13"/>
      <c r="Z100" s="13"/>
      <c r="AA100" s="13"/>
    </row>
    <row r="101" customFormat="false" ht="15" hidden="false" customHeight="true" outlineLevel="0" collapsed="false">
      <c r="C101" s="13"/>
      <c r="E101" s="13"/>
      <c r="F101" s="13"/>
      <c r="G101" s="13"/>
      <c r="H101" s="13"/>
      <c r="J101" s="13"/>
      <c r="K101" s="14"/>
      <c r="N101" s="16" t="str">
        <f aca="false">IF(L101="","",L101*M101)</f>
        <v/>
      </c>
      <c r="O101" s="13"/>
      <c r="P101" s="13"/>
      <c r="Q101" s="13"/>
      <c r="R101" s="13"/>
      <c r="T101" s="13"/>
      <c r="U101" s="13"/>
      <c r="Z101" s="13"/>
      <c r="AA101" s="13"/>
    </row>
    <row r="102" customFormat="false" ht="15" hidden="false" customHeight="true" outlineLevel="0" collapsed="false">
      <c r="C102" s="13"/>
      <c r="E102" s="13"/>
      <c r="F102" s="13"/>
      <c r="G102" s="13"/>
      <c r="H102" s="13"/>
      <c r="J102" s="13"/>
      <c r="K102" s="14"/>
      <c r="N102" s="16" t="str">
        <f aca="false">IF(L102="","",L102*M102)</f>
        <v/>
      </c>
      <c r="O102" s="13"/>
      <c r="P102" s="13"/>
      <c r="Q102" s="13"/>
      <c r="R102" s="13"/>
      <c r="T102" s="13"/>
      <c r="U102" s="13"/>
      <c r="Z102" s="13"/>
      <c r="AA102" s="13"/>
    </row>
    <row r="103" customFormat="false" ht="15" hidden="false" customHeight="true" outlineLevel="0" collapsed="false">
      <c r="C103" s="13"/>
      <c r="E103" s="13"/>
      <c r="F103" s="13"/>
      <c r="G103" s="13"/>
      <c r="H103" s="13"/>
      <c r="J103" s="13"/>
      <c r="K103" s="14"/>
      <c r="N103" s="16" t="str">
        <f aca="false">IF(L103="","",L103*M103)</f>
        <v/>
      </c>
      <c r="O103" s="13"/>
      <c r="P103" s="13"/>
      <c r="Q103" s="13"/>
      <c r="R103" s="13"/>
      <c r="T103" s="13"/>
      <c r="U103" s="13"/>
      <c r="Z103" s="13"/>
      <c r="AA103" s="13"/>
    </row>
    <row r="104" customFormat="false" ht="15" hidden="false" customHeight="true" outlineLevel="0" collapsed="false">
      <c r="C104" s="13"/>
      <c r="E104" s="13"/>
      <c r="F104" s="13"/>
      <c r="G104" s="13"/>
      <c r="H104" s="13"/>
      <c r="J104" s="13"/>
      <c r="K104" s="14"/>
      <c r="N104" s="16" t="str">
        <f aca="false">IF(L104="","",L104*M104)</f>
        <v/>
      </c>
      <c r="O104" s="13"/>
      <c r="P104" s="13"/>
      <c r="Q104" s="13"/>
      <c r="R104" s="13"/>
      <c r="T104" s="13"/>
      <c r="U104" s="13"/>
      <c r="Z104" s="13"/>
      <c r="AA104" s="13"/>
    </row>
    <row r="105" customFormat="false" ht="15" hidden="false" customHeight="true" outlineLevel="0" collapsed="false">
      <c r="C105" s="13"/>
      <c r="E105" s="13"/>
      <c r="F105" s="13"/>
      <c r="G105" s="13"/>
      <c r="H105" s="13"/>
      <c r="J105" s="13"/>
      <c r="K105" s="14"/>
      <c r="N105" s="16" t="str">
        <f aca="false">IF(L105="","",L105*M105)</f>
        <v/>
      </c>
      <c r="O105" s="13"/>
      <c r="P105" s="13"/>
      <c r="Q105" s="13"/>
      <c r="R105" s="13"/>
      <c r="T105" s="13"/>
      <c r="U105" s="13"/>
      <c r="Z105" s="13"/>
      <c r="AA105" s="13"/>
    </row>
    <row r="106" customFormat="false" ht="15" hidden="false" customHeight="true" outlineLevel="0" collapsed="false">
      <c r="C106" s="13"/>
      <c r="E106" s="13"/>
      <c r="F106" s="13"/>
      <c r="G106" s="13"/>
      <c r="H106" s="13"/>
      <c r="J106" s="13"/>
      <c r="K106" s="14"/>
      <c r="N106" s="16" t="str">
        <f aca="false">IF(L106="","",L106*M106)</f>
        <v/>
      </c>
      <c r="O106" s="13"/>
      <c r="P106" s="13"/>
      <c r="Q106" s="13"/>
      <c r="R106" s="13"/>
      <c r="T106" s="13"/>
      <c r="U106" s="13"/>
      <c r="Z106" s="13"/>
      <c r="AA106" s="13"/>
    </row>
    <row r="107" customFormat="false" ht="15" hidden="false" customHeight="true" outlineLevel="0" collapsed="false">
      <c r="C107" s="13"/>
      <c r="E107" s="13"/>
      <c r="F107" s="13"/>
      <c r="G107" s="13"/>
      <c r="H107" s="13"/>
      <c r="J107" s="13"/>
      <c r="K107" s="14"/>
      <c r="N107" s="16" t="str">
        <f aca="false">IF(L107="","",L107*M107)</f>
        <v/>
      </c>
      <c r="O107" s="13"/>
      <c r="P107" s="13"/>
      <c r="Q107" s="13"/>
      <c r="R107" s="13"/>
      <c r="T107" s="13"/>
      <c r="U107" s="13"/>
      <c r="Z107" s="13"/>
      <c r="AA107" s="13"/>
    </row>
    <row r="108" customFormat="false" ht="15" hidden="false" customHeight="true" outlineLevel="0" collapsed="false">
      <c r="C108" s="13"/>
      <c r="E108" s="13"/>
      <c r="F108" s="13"/>
      <c r="G108" s="13"/>
      <c r="H108" s="13"/>
      <c r="J108" s="13"/>
      <c r="K108" s="14"/>
      <c r="N108" s="16" t="str">
        <f aca="false">IF(L108="","",L108*M108)</f>
        <v/>
      </c>
      <c r="O108" s="13"/>
      <c r="P108" s="13"/>
      <c r="Q108" s="13"/>
      <c r="R108" s="13"/>
      <c r="T108" s="13"/>
      <c r="U108" s="13"/>
      <c r="Z108" s="13"/>
      <c r="AA108" s="13"/>
    </row>
    <row r="109" customFormat="false" ht="15" hidden="false" customHeight="true" outlineLevel="0" collapsed="false">
      <c r="C109" s="13"/>
      <c r="E109" s="13"/>
      <c r="F109" s="13"/>
      <c r="G109" s="13"/>
      <c r="H109" s="13"/>
      <c r="J109" s="13"/>
      <c r="K109" s="14"/>
      <c r="N109" s="16" t="str">
        <f aca="false">IF(L109="","",L109*M109)</f>
        <v/>
      </c>
      <c r="O109" s="13"/>
      <c r="P109" s="13"/>
      <c r="Q109" s="13"/>
      <c r="R109" s="13"/>
      <c r="T109" s="13"/>
      <c r="U109" s="13"/>
      <c r="Z109" s="13"/>
      <c r="AA109" s="13"/>
    </row>
    <row r="110" customFormat="false" ht="15" hidden="false" customHeight="true" outlineLevel="0" collapsed="false">
      <c r="C110" s="13"/>
      <c r="E110" s="13"/>
      <c r="F110" s="13"/>
      <c r="G110" s="13"/>
      <c r="H110" s="13"/>
      <c r="J110" s="13"/>
      <c r="K110" s="14"/>
      <c r="N110" s="16" t="str">
        <f aca="false">IF(L110="","",L110*M110)</f>
        <v/>
      </c>
      <c r="O110" s="13"/>
      <c r="P110" s="13"/>
      <c r="Q110" s="13"/>
      <c r="R110" s="13"/>
      <c r="T110" s="13"/>
      <c r="U110" s="13"/>
      <c r="Z110" s="13"/>
      <c r="AA110" s="13"/>
    </row>
    <row r="111" customFormat="false" ht="15" hidden="false" customHeight="true" outlineLevel="0" collapsed="false">
      <c r="C111" s="13"/>
      <c r="E111" s="13"/>
      <c r="F111" s="13"/>
      <c r="G111" s="13"/>
      <c r="H111" s="13"/>
      <c r="J111" s="13"/>
      <c r="K111" s="14"/>
      <c r="N111" s="16" t="str">
        <f aca="false">IF(L111="","",L111*M111)</f>
        <v/>
      </c>
      <c r="O111" s="13"/>
      <c r="P111" s="13"/>
      <c r="Q111" s="13"/>
      <c r="R111" s="13"/>
      <c r="T111" s="13"/>
      <c r="U111" s="13"/>
      <c r="Z111" s="13"/>
      <c r="AA111" s="13"/>
    </row>
    <row r="112" customFormat="false" ht="15" hidden="false" customHeight="true" outlineLevel="0" collapsed="false">
      <c r="C112" s="13"/>
      <c r="E112" s="13"/>
      <c r="F112" s="13"/>
      <c r="G112" s="13"/>
      <c r="H112" s="13"/>
      <c r="J112" s="13"/>
      <c r="K112" s="14"/>
      <c r="N112" s="16" t="str">
        <f aca="false">IF(L112="","",L112*M112)</f>
        <v/>
      </c>
      <c r="O112" s="13"/>
      <c r="P112" s="13"/>
      <c r="Q112" s="13"/>
      <c r="R112" s="13"/>
      <c r="T112" s="13"/>
      <c r="U112" s="13"/>
      <c r="Z112" s="13"/>
      <c r="AA112" s="13"/>
    </row>
    <row r="113" customFormat="false" ht="15" hidden="false" customHeight="true" outlineLevel="0" collapsed="false">
      <c r="C113" s="13"/>
      <c r="E113" s="13"/>
      <c r="F113" s="13"/>
      <c r="G113" s="13"/>
      <c r="H113" s="13"/>
      <c r="J113" s="13"/>
      <c r="K113" s="14"/>
      <c r="N113" s="16" t="str">
        <f aca="false">IF(L113="","",L113*M113)</f>
        <v/>
      </c>
      <c r="O113" s="13"/>
      <c r="P113" s="13"/>
      <c r="Q113" s="13"/>
      <c r="R113" s="13"/>
      <c r="T113" s="13"/>
      <c r="U113" s="13"/>
      <c r="Z113" s="13"/>
      <c r="AA113" s="13"/>
    </row>
    <row r="114" customFormat="false" ht="15" hidden="false" customHeight="true" outlineLevel="0" collapsed="false">
      <c r="C114" s="13"/>
      <c r="E114" s="13"/>
      <c r="F114" s="13"/>
      <c r="G114" s="13"/>
      <c r="H114" s="13"/>
      <c r="J114" s="13"/>
      <c r="K114" s="14"/>
      <c r="N114" s="16" t="str">
        <f aca="false">IF(L114="","",L114*M114)</f>
        <v/>
      </c>
      <c r="O114" s="13"/>
      <c r="P114" s="13"/>
      <c r="Q114" s="13"/>
      <c r="R114" s="13"/>
      <c r="T114" s="13"/>
      <c r="U114" s="13"/>
      <c r="Z114" s="13"/>
      <c r="AA114" s="13"/>
    </row>
    <row r="115" customFormat="false" ht="15" hidden="false" customHeight="true" outlineLevel="0" collapsed="false">
      <c r="C115" s="13"/>
      <c r="E115" s="13"/>
      <c r="F115" s="13"/>
      <c r="G115" s="13"/>
      <c r="H115" s="13"/>
      <c r="J115" s="13"/>
      <c r="K115" s="14"/>
      <c r="N115" s="16" t="str">
        <f aca="false">IF(L115="","",L115*M115)</f>
        <v/>
      </c>
      <c r="O115" s="13"/>
      <c r="P115" s="13"/>
      <c r="Q115" s="13"/>
      <c r="R115" s="13"/>
      <c r="T115" s="13"/>
      <c r="U115" s="13"/>
      <c r="Z115" s="13"/>
      <c r="AA115" s="13"/>
    </row>
    <row r="116" customFormat="false" ht="15" hidden="false" customHeight="true" outlineLevel="0" collapsed="false">
      <c r="C116" s="13"/>
      <c r="E116" s="13"/>
      <c r="F116" s="13"/>
      <c r="G116" s="13"/>
      <c r="H116" s="13"/>
      <c r="J116" s="13"/>
      <c r="K116" s="14"/>
      <c r="N116" s="16" t="str">
        <f aca="false">IF(L116="","",L116*M116)</f>
        <v/>
      </c>
      <c r="O116" s="13"/>
      <c r="P116" s="13"/>
      <c r="Q116" s="13"/>
      <c r="R116" s="13"/>
      <c r="T116" s="13"/>
      <c r="U116" s="13"/>
      <c r="Z116" s="13"/>
      <c r="AA116" s="13"/>
    </row>
    <row r="117" customFormat="false" ht="15" hidden="false" customHeight="true" outlineLevel="0" collapsed="false">
      <c r="C117" s="13"/>
      <c r="E117" s="13"/>
      <c r="F117" s="13"/>
      <c r="G117" s="13"/>
      <c r="H117" s="13"/>
      <c r="J117" s="13"/>
      <c r="K117" s="14"/>
      <c r="N117" s="16" t="str">
        <f aca="false">IF(L117="","",L117*M117)</f>
        <v/>
      </c>
      <c r="O117" s="13"/>
      <c r="P117" s="13"/>
      <c r="Q117" s="13"/>
      <c r="R117" s="13"/>
      <c r="T117" s="13"/>
      <c r="U117" s="13"/>
      <c r="Z117" s="13"/>
      <c r="AA117" s="13"/>
    </row>
    <row r="118" customFormat="false" ht="15" hidden="false" customHeight="true" outlineLevel="0" collapsed="false">
      <c r="C118" s="13"/>
      <c r="E118" s="13"/>
      <c r="F118" s="13"/>
      <c r="G118" s="13"/>
      <c r="H118" s="13"/>
      <c r="J118" s="13"/>
      <c r="K118" s="14"/>
      <c r="N118" s="16" t="str">
        <f aca="false">IF(L118="","",L118*M118)</f>
        <v/>
      </c>
      <c r="O118" s="13"/>
      <c r="P118" s="13"/>
      <c r="Q118" s="13"/>
      <c r="R118" s="13"/>
      <c r="T118" s="13"/>
      <c r="U118" s="13"/>
      <c r="Z118" s="13"/>
      <c r="AA118" s="13"/>
    </row>
    <row r="119" customFormat="false" ht="15" hidden="false" customHeight="true" outlineLevel="0" collapsed="false">
      <c r="C119" s="13"/>
      <c r="E119" s="13"/>
      <c r="F119" s="13"/>
      <c r="G119" s="13"/>
      <c r="H119" s="13"/>
      <c r="J119" s="13"/>
      <c r="K119" s="14"/>
      <c r="N119" s="16" t="str">
        <f aca="false">IF(L119="","",L119*M119)</f>
        <v/>
      </c>
      <c r="O119" s="13"/>
      <c r="P119" s="13"/>
      <c r="Q119" s="13"/>
      <c r="R119" s="13"/>
      <c r="T119" s="13"/>
      <c r="U119" s="13"/>
      <c r="Z119" s="13"/>
      <c r="AA119" s="13"/>
    </row>
    <row r="120" customFormat="false" ht="15" hidden="false" customHeight="true" outlineLevel="0" collapsed="false">
      <c r="C120" s="13"/>
      <c r="E120" s="13"/>
      <c r="F120" s="13"/>
      <c r="G120" s="13"/>
      <c r="H120" s="13"/>
      <c r="J120" s="13"/>
      <c r="K120" s="14"/>
      <c r="N120" s="16" t="str">
        <f aca="false">IF(L120="","",L120*M120)</f>
        <v/>
      </c>
      <c r="O120" s="13"/>
      <c r="P120" s="13"/>
      <c r="Q120" s="13"/>
      <c r="R120" s="13"/>
      <c r="T120" s="13"/>
      <c r="U120" s="13"/>
      <c r="Z120" s="13"/>
      <c r="AA120" s="13"/>
    </row>
    <row r="121" customFormat="false" ht="15" hidden="false" customHeight="true" outlineLevel="0" collapsed="false">
      <c r="C121" s="13"/>
      <c r="E121" s="13"/>
      <c r="F121" s="13"/>
      <c r="G121" s="13"/>
      <c r="H121" s="13"/>
      <c r="J121" s="13"/>
      <c r="K121" s="14"/>
      <c r="N121" s="16" t="str">
        <f aca="false">IF(L121="","",L121*M121)</f>
        <v/>
      </c>
      <c r="O121" s="13"/>
      <c r="P121" s="13"/>
      <c r="Q121" s="13"/>
      <c r="R121" s="13"/>
      <c r="T121" s="13"/>
      <c r="U121" s="13"/>
      <c r="Z121" s="13"/>
      <c r="AA121" s="13"/>
    </row>
    <row r="122" customFormat="false" ht="15" hidden="false" customHeight="true" outlineLevel="0" collapsed="false">
      <c r="C122" s="13"/>
      <c r="E122" s="13"/>
      <c r="F122" s="13"/>
      <c r="G122" s="13"/>
      <c r="H122" s="13"/>
      <c r="J122" s="13"/>
      <c r="K122" s="14"/>
      <c r="N122" s="16" t="str">
        <f aca="false">IF(L122="","",L122*M122)</f>
        <v/>
      </c>
      <c r="O122" s="13"/>
      <c r="P122" s="13"/>
      <c r="Q122" s="13"/>
      <c r="R122" s="13"/>
      <c r="T122" s="13"/>
      <c r="U122" s="13"/>
      <c r="Z122" s="13"/>
      <c r="AA122" s="13"/>
    </row>
    <row r="123" customFormat="false" ht="15" hidden="false" customHeight="true" outlineLevel="0" collapsed="false">
      <c r="C123" s="13"/>
      <c r="E123" s="13"/>
      <c r="F123" s="13"/>
      <c r="G123" s="13"/>
      <c r="H123" s="13"/>
      <c r="J123" s="13"/>
      <c r="K123" s="14"/>
      <c r="N123" s="16" t="str">
        <f aca="false">IF(L123="","",L123*M123)</f>
        <v/>
      </c>
      <c r="O123" s="13"/>
      <c r="P123" s="13"/>
      <c r="Q123" s="13"/>
      <c r="R123" s="13"/>
      <c r="T123" s="13"/>
      <c r="U123" s="13"/>
      <c r="Z123" s="13"/>
      <c r="AA123" s="13"/>
    </row>
    <row r="124" customFormat="false" ht="15" hidden="false" customHeight="true" outlineLevel="0" collapsed="false">
      <c r="C124" s="13"/>
      <c r="E124" s="13"/>
      <c r="F124" s="13"/>
      <c r="G124" s="13"/>
      <c r="H124" s="13"/>
      <c r="J124" s="13"/>
      <c r="K124" s="14"/>
      <c r="N124" s="16" t="str">
        <f aca="false">IF(L124="","",L124*M124)</f>
        <v/>
      </c>
      <c r="O124" s="13"/>
      <c r="P124" s="13"/>
      <c r="Q124" s="13"/>
      <c r="R124" s="13"/>
      <c r="T124" s="13"/>
      <c r="U124" s="13"/>
      <c r="Z124" s="13"/>
      <c r="AA124" s="13"/>
    </row>
    <row r="125" customFormat="false" ht="15" hidden="false" customHeight="true" outlineLevel="0" collapsed="false">
      <c r="C125" s="13"/>
      <c r="E125" s="13"/>
      <c r="F125" s="13"/>
      <c r="G125" s="13"/>
      <c r="H125" s="13"/>
      <c r="J125" s="13"/>
      <c r="K125" s="14"/>
      <c r="N125" s="16" t="str">
        <f aca="false">IF(L125="","",L125*M125)</f>
        <v/>
      </c>
      <c r="O125" s="13"/>
      <c r="P125" s="13"/>
      <c r="Q125" s="13"/>
      <c r="R125" s="13"/>
      <c r="T125" s="13"/>
      <c r="U125" s="13"/>
      <c r="Z125" s="13"/>
      <c r="AA125" s="13"/>
    </row>
    <row r="126" customFormat="false" ht="15" hidden="false" customHeight="true" outlineLevel="0" collapsed="false">
      <c r="C126" s="13"/>
      <c r="E126" s="13"/>
      <c r="F126" s="13"/>
      <c r="G126" s="13"/>
      <c r="H126" s="13"/>
      <c r="J126" s="13"/>
      <c r="K126" s="14"/>
      <c r="N126" s="16" t="str">
        <f aca="false">IF(L126="","",L126*M126)</f>
        <v/>
      </c>
      <c r="O126" s="13"/>
      <c r="P126" s="13"/>
      <c r="Q126" s="13"/>
      <c r="R126" s="13"/>
      <c r="T126" s="13"/>
      <c r="U126" s="13"/>
      <c r="Z126" s="13"/>
      <c r="AA126" s="13"/>
    </row>
    <row r="127" customFormat="false" ht="15" hidden="false" customHeight="true" outlineLevel="0" collapsed="false">
      <c r="C127" s="13"/>
      <c r="E127" s="13"/>
      <c r="F127" s="13"/>
      <c r="G127" s="13"/>
      <c r="H127" s="13"/>
      <c r="J127" s="13"/>
      <c r="K127" s="14"/>
      <c r="N127" s="16" t="str">
        <f aca="false">IF(L127="","",L127*M127)</f>
        <v/>
      </c>
      <c r="O127" s="13"/>
      <c r="P127" s="13"/>
      <c r="Q127" s="13"/>
      <c r="R127" s="13"/>
      <c r="T127" s="13"/>
      <c r="U127" s="13"/>
      <c r="Z127" s="13"/>
      <c r="AA127" s="13"/>
    </row>
    <row r="128" customFormat="false" ht="15" hidden="false" customHeight="true" outlineLevel="0" collapsed="false">
      <c r="C128" s="13"/>
      <c r="E128" s="13"/>
      <c r="F128" s="13"/>
      <c r="G128" s="13"/>
      <c r="H128" s="13"/>
      <c r="J128" s="13"/>
      <c r="K128" s="14"/>
      <c r="N128" s="16" t="str">
        <f aca="false">IF(L128="","",L128*M128)</f>
        <v/>
      </c>
      <c r="O128" s="13"/>
      <c r="P128" s="13"/>
      <c r="Q128" s="13"/>
      <c r="R128" s="13"/>
      <c r="T128" s="13"/>
      <c r="U128" s="13"/>
      <c r="Z128" s="13"/>
      <c r="AA128" s="13"/>
    </row>
    <row r="129" customFormat="false" ht="15" hidden="false" customHeight="true" outlineLevel="0" collapsed="false">
      <c r="C129" s="13"/>
      <c r="E129" s="13"/>
      <c r="F129" s="13"/>
      <c r="G129" s="13"/>
      <c r="H129" s="13"/>
      <c r="J129" s="13"/>
      <c r="K129" s="14"/>
      <c r="N129" s="16" t="str">
        <f aca="false">IF(L129="","",L129*M129)</f>
        <v/>
      </c>
      <c r="O129" s="13"/>
      <c r="P129" s="13"/>
      <c r="Q129" s="13"/>
      <c r="R129" s="13"/>
      <c r="T129" s="13"/>
      <c r="U129" s="13"/>
      <c r="Z129" s="13"/>
      <c r="AA129" s="13"/>
    </row>
    <row r="130" customFormat="false" ht="15" hidden="false" customHeight="true" outlineLevel="0" collapsed="false">
      <c r="C130" s="13"/>
      <c r="E130" s="13"/>
      <c r="F130" s="13"/>
      <c r="G130" s="13"/>
      <c r="H130" s="13"/>
      <c r="J130" s="13"/>
      <c r="K130" s="14"/>
      <c r="N130" s="16" t="str">
        <f aca="false">IF(L130="","",L130*M130)</f>
        <v/>
      </c>
      <c r="O130" s="13"/>
      <c r="P130" s="13"/>
      <c r="Q130" s="13"/>
      <c r="R130" s="13"/>
      <c r="T130" s="13"/>
      <c r="U130" s="13"/>
      <c r="Z130" s="13"/>
      <c r="AA130" s="13"/>
    </row>
    <row r="131" customFormat="false" ht="15" hidden="false" customHeight="true" outlineLevel="0" collapsed="false">
      <c r="C131" s="13"/>
      <c r="E131" s="13"/>
      <c r="F131" s="13"/>
      <c r="G131" s="13"/>
      <c r="H131" s="13"/>
      <c r="J131" s="13"/>
      <c r="K131" s="14"/>
      <c r="N131" s="16" t="str">
        <f aca="false">IF(L131="","",L131*M131)</f>
        <v/>
      </c>
      <c r="O131" s="13"/>
      <c r="P131" s="13"/>
      <c r="Q131" s="13"/>
      <c r="R131" s="13"/>
      <c r="T131" s="13"/>
      <c r="U131" s="13"/>
      <c r="Z131" s="13"/>
      <c r="AA131" s="13"/>
    </row>
    <row r="132" customFormat="false" ht="15" hidden="false" customHeight="true" outlineLevel="0" collapsed="false">
      <c r="C132" s="13"/>
      <c r="E132" s="13"/>
      <c r="F132" s="13"/>
      <c r="G132" s="13"/>
      <c r="H132" s="13"/>
      <c r="J132" s="13"/>
      <c r="K132" s="14"/>
      <c r="N132" s="16" t="str">
        <f aca="false">IF(L132="","",L132*M132)</f>
        <v/>
      </c>
      <c r="O132" s="13"/>
      <c r="P132" s="13"/>
      <c r="Q132" s="13"/>
      <c r="R132" s="13"/>
      <c r="T132" s="13"/>
      <c r="U132" s="13"/>
      <c r="Z132" s="13"/>
      <c r="AA132" s="13"/>
    </row>
    <row r="133" customFormat="false" ht="15" hidden="false" customHeight="true" outlineLevel="0" collapsed="false">
      <c r="C133" s="13"/>
      <c r="E133" s="13"/>
      <c r="F133" s="13"/>
      <c r="G133" s="13"/>
      <c r="H133" s="13"/>
      <c r="J133" s="13"/>
      <c r="K133" s="14"/>
      <c r="N133" s="16" t="str">
        <f aca="false">IF(L133="","",L133*M133)</f>
        <v/>
      </c>
      <c r="O133" s="13"/>
      <c r="P133" s="13"/>
      <c r="Q133" s="13"/>
      <c r="R133" s="13"/>
      <c r="T133" s="13"/>
      <c r="U133" s="13"/>
      <c r="Z133" s="13"/>
      <c r="AA133" s="13"/>
    </row>
    <row r="134" customFormat="false" ht="15" hidden="false" customHeight="true" outlineLevel="0" collapsed="false">
      <c r="C134" s="13"/>
      <c r="E134" s="13"/>
      <c r="F134" s="13"/>
      <c r="G134" s="13"/>
      <c r="H134" s="13"/>
      <c r="J134" s="13"/>
      <c r="K134" s="14"/>
      <c r="N134" s="16" t="str">
        <f aca="false">IF(L134="","",L134*M134)</f>
        <v/>
      </c>
      <c r="O134" s="13"/>
      <c r="P134" s="13"/>
      <c r="Q134" s="13"/>
      <c r="R134" s="13"/>
      <c r="T134" s="13"/>
      <c r="U134" s="13"/>
      <c r="Z134" s="13"/>
      <c r="AA134" s="13"/>
    </row>
    <row r="135" customFormat="false" ht="15" hidden="false" customHeight="true" outlineLevel="0" collapsed="false">
      <c r="C135" s="13"/>
      <c r="E135" s="13"/>
      <c r="F135" s="13"/>
      <c r="G135" s="13"/>
      <c r="H135" s="13"/>
      <c r="J135" s="13"/>
      <c r="K135" s="14"/>
      <c r="N135" s="16" t="str">
        <f aca="false">IF(L135="","",L135*M135)</f>
        <v/>
      </c>
      <c r="O135" s="13"/>
      <c r="P135" s="13"/>
      <c r="Q135" s="13"/>
      <c r="R135" s="13"/>
      <c r="T135" s="13"/>
      <c r="U135" s="13"/>
      <c r="Z135" s="13"/>
      <c r="AA135" s="13"/>
    </row>
    <row r="136" customFormat="false" ht="15" hidden="false" customHeight="true" outlineLevel="0" collapsed="false">
      <c r="C136" s="13"/>
      <c r="E136" s="13"/>
      <c r="F136" s="13"/>
      <c r="G136" s="13"/>
      <c r="H136" s="13"/>
      <c r="J136" s="13"/>
      <c r="K136" s="14"/>
      <c r="N136" s="16" t="str">
        <f aca="false">IF(L136="","",L136*M136)</f>
        <v/>
      </c>
      <c r="O136" s="13"/>
      <c r="P136" s="13"/>
      <c r="Q136" s="13"/>
      <c r="R136" s="13"/>
      <c r="T136" s="13"/>
      <c r="U136" s="13"/>
      <c r="Z136" s="13"/>
      <c r="AA136" s="13"/>
    </row>
    <row r="137" customFormat="false" ht="15" hidden="false" customHeight="true" outlineLevel="0" collapsed="false">
      <c r="C137" s="13"/>
      <c r="E137" s="13"/>
      <c r="F137" s="13"/>
      <c r="G137" s="13"/>
      <c r="H137" s="13"/>
      <c r="J137" s="13"/>
      <c r="K137" s="14"/>
      <c r="N137" s="16" t="str">
        <f aca="false">IF(L137="","",L137*M137)</f>
        <v/>
      </c>
      <c r="O137" s="13"/>
      <c r="P137" s="13"/>
      <c r="Q137" s="13"/>
      <c r="R137" s="13"/>
      <c r="T137" s="13"/>
      <c r="U137" s="13"/>
      <c r="Z137" s="13"/>
      <c r="AA137" s="13"/>
    </row>
    <row r="138" customFormat="false" ht="15" hidden="false" customHeight="true" outlineLevel="0" collapsed="false">
      <c r="C138" s="13"/>
      <c r="E138" s="13"/>
      <c r="F138" s="13"/>
      <c r="G138" s="13"/>
      <c r="H138" s="13"/>
      <c r="J138" s="13"/>
      <c r="K138" s="14"/>
      <c r="N138" s="16" t="str">
        <f aca="false">IF(L138="","",L138*M138)</f>
        <v/>
      </c>
      <c r="O138" s="13"/>
      <c r="P138" s="13"/>
      <c r="Q138" s="13"/>
      <c r="R138" s="13"/>
      <c r="T138" s="13"/>
      <c r="U138" s="13"/>
      <c r="Z138" s="13"/>
      <c r="AA138" s="13"/>
    </row>
    <row r="139" customFormat="false" ht="15" hidden="false" customHeight="true" outlineLevel="0" collapsed="false">
      <c r="C139" s="13"/>
      <c r="E139" s="13"/>
      <c r="F139" s="13"/>
      <c r="G139" s="13"/>
      <c r="H139" s="13"/>
      <c r="J139" s="13"/>
      <c r="K139" s="14"/>
      <c r="N139" s="16" t="str">
        <f aca="false">IF(L139="","",L139*M139)</f>
        <v/>
      </c>
      <c r="O139" s="13"/>
      <c r="P139" s="13"/>
      <c r="Q139" s="13"/>
      <c r="R139" s="13"/>
      <c r="T139" s="13"/>
      <c r="U139" s="13"/>
      <c r="Z139" s="13"/>
      <c r="AA139" s="13"/>
    </row>
    <row r="140" customFormat="false" ht="15" hidden="false" customHeight="true" outlineLevel="0" collapsed="false">
      <c r="C140" s="13"/>
      <c r="E140" s="13"/>
      <c r="F140" s="13"/>
      <c r="G140" s="13"/>
      <c r="H140" s="13"/>
      <c r="J140" s="13"/>
      <c r="K140" s="14"/>
      <c r="N140" s="16" t="str">
        <f aca="false">IF(L140="","",L140*M140)</f>
        <v/>
      </c>
      <c r="O140" s="13"/>
      <c r="P140" s="13"/>
      <c r="Q140" s="13"/>
      <c r="R140" s="13"/>
      <c r="T140" s="13"/>
      <c r="U140" s="13"/>
      <c r="Z140" s="13"/>
      <c r="AA140" s="13"/>
    </row>
    <row r="141" customFormat="false" ht="15" hidden="false" customHeight="true" outlineLevel="0" collapsed="false">
      <c r="C141" s="13"/>
      <c r="E141" s="13"/>
      <c r="F141" s="13"/>
      <c r="G141" s="13"/>
      <c r="H141" s="13"/>
      <c r="J141" s="13"/>
      <c r="K141" s="14"/>
      <c r="N141" s="16" t="str">
        <f aca="false">IF(L141="","",L141*M141)</f>
        <v/>
      </c>
      <c r="O141" s="13"/>
      <c r="P141" s="13"/>
      <c r="Q141" s="13"/>
      <c r="R141" s="13"/>
      <c r="T141" s="13"/>
      <c r="U141" s="13"/>
      <c r="Z141" s="13"/>
      <c r="AA141" s="13"/>
    </row>
    <row r="142" customFormat="false" ht="15" hidden="false" customHeight="true" outlineLevel="0" collapsed="false">
      <c r="C142" s="13"/>
      <c r="E142" s="13"/>
      <c r="F142" s="13"/>
      <c r="G142" s="13"/>
      <c r="H142" s="13"/>
      <c r="J142" s="13"/>
      <c r="K142" s="14"/>
      <c r="N142" s="16" t="str">
        <f aca="false">IF(L142="","",L142*M142)</f>
        <v/>
      </c>
      <c r="O142" s="13"/>
      <c r="P142" s="13"/>
      <c r="Q142" s="13"/>
      <c r="R142" s="13"/>
      <c r="T142" s="13"/>
      <c r="U142" s="13"/>
      <c r="Z142" s="13"/>
      <c r="AA142" s="13"/>
    </row>
    <row r="143" customFormat="false" ht="15" hidden="false" customHeight="true" outlineLevel="0" collapsed="false">
      <c r="C143" s="13"/>
      <c r="E143" s="13"/>
      <c r="F143" s="13"/>
      <c r="G143" s="13"/>
      <c r="H143" s="13"/>
      <c r="J143" s="13"/>
      <c r="K143" s="14"/>
      <c r="N143" s="16" t="str">
        <f aca="false">IF(L143="","",L143*M143)</f>
        <v/>
      </c>
      <c r="O143" s="13"/>
      <c r="P143" s="13"/>
      <c r="Q143" s="13"/>
      <c r="R143" s="13"/>
      <c r="T143" s="13"/>
      <c r="U143" s="13"/>
      <c r="Z143" s="13"/>
      <c r="AA143" s="13"/>
    </row>
    <row r="144" customFormat="false" ht="15" hidden="false" customHeight="true" outlineLevel="0" collapsed="false">
      <c r="C144" s="13"/>
      <c r="E144" s="13"/>
      <c r="F144" s="13"/>
      <c r="G144" s="13"/>
      <c r="H144" s="13"/>
      <c r="J144" s="13"/>
      <c r="K144" s="14"/>
      <c r="N144" s="16" t="str">
        <f aca="false">IF(L144="","",L144*M144)</f>
        <v/>
      </c>
      <c r="O144" s="13"/>
      <c r="P144" s="13"/>
      <c r="Q144" s="13"/>
      <c r="R144" s="13"/>
      <c r="T144" s="13"/>
      <c r="U144" s="13"/>
      <c r="Z144" s="13"/>
      <c r="AA144" s="13"/>
    </row>
    <row r="145" customFormat="false" ht="15" hidden="false" customHeight="true" outlineLevel="0" collapsed="false">
      <c r="C145" s="13"/>
      <c r="E145" s="13"/>
      <c r="F145" s="13"/>
      <c r="G145" s="13"/>
      <c r="H145" s="13"/>
      <c r="J145" s="13"/>
      <c r="K145" s="14"/>
      <c r="N145" s="16" t="str">
        <f aca="false">IF(L145="","",L145*M145)</f>
        <v/>
      </c>
      <c r="O145" s="13"/>
      <c r="P145" s="13"/>
      <c r="Q145" s="13"/>
      <c r="R145" s="13"/>
      <c r="T145" s="13"/>
      <c r="U145" s="13"/>
      <c r="Z145" s="13"/>
      <c r="AA145" s="13"/>
    </row>
    <row r="146" customFormat="false" ht="15" hidden="false" customHeight="true" outlineLevel="0" collapsed="false">
      <c r="C146" s="13"/>
      <c r="E146" s="13"/>
      <c r="F146" s="13"/>
      <c r="G146" s="13"/>
      <c r="H146" s="13"/>
      <c r="J146" s="13"/>
      <c r="K146" s="14"/>
      <c r="N146" s="16" t="str">
        <f aca="false">IF(L146="","",L146*M146)</f>
        <v/>
      </c>
      <c r="O146" s="13"/>
      <c r="P146" s="13"/>
      <c r="Q146" s="13"/>
      <c r="R146" s="13"/>
      <c r="T146" s="13"/>
      <c r="U146" s="13"/>
      <c r="Z146" s="13"/>
      <c r="AA146" s="13"/>
    </row>
    <row r="147" customFormat="false" ht="15" hidden="false" customHeight="true" outlineLevel="0" collapsed="false">
      <c r="C147" s="13"/>
      <c r="E147" s="13"/>
      <c r="F147" s="13"/>
      <c r="G147" s="13"/>
      <c r="H147" s="13"/>
      <c r="J147" s="13"/>
      <c r="K147" s="14"/>
      <c r="N147" s="16" t="str">
        <f aca="false">IF(L147="","",L147*M147)</f>
        <v/>
      </c>
      <c r="O147" s="13"/>
      <c r="P147" s="13"/>
      <c r="Q147" s="13"/>
      <c r="R147" s="13"/>
      <c r="T147" s="13"/>
      <c r="U147" s="13"/>
      <c r="Z147" s="13"/>
      <c r="AA147" s="13"/>
    </row>
    <row r="148" customFormat="false" ht="15" hidden="false" customHeight="true" outlineLevel="0" collapsed="false">
      <c r="C148" s="13"/>
      <c r="E148" s="13"/>
      <c r="F148" s="13"/>
      <c r="G148" s="13"/>
      <c r="H148" s="13"/>
      <c r="J148" s="13"/>
      <c r="K148" s="14"/>
      <c r="N148" s="16" t="str">
        <f aca="false">IF(L148="","",L148*M148)</f>
        <v/>
      </c>
      <c r="O148" s="13"/>
      <c r="P148" s="13"/>
      <c r="Q148" s="13"/>
      <c r="R148" s="13"/>
      <c r="T148" s="13"/>
      <c r="U148" s="13"/>
      <c r="Z148" s="13"/>
      <c r="AA148" s="13"/>
    </row>
    <row r="149" customFormat="false" ht="15" hidden="false" customHeight="true" outlineLevel="0" collapsed="false">
      <c r="C149" s="13"/>
      <c r="E149" s="13"/>
      <c r="F149" s="13"/>
      <c r="G149" s="13"/>
      <c r="H149" s="13"/>
      <c r="J149" s="13"/>
      <c r="K149" s="14"/>
      <c r="N149" s="16" t="str">
        <f aca="false">IF(L149="","",L149*M149)</f>
        <v/>
      </c>
      <c r="O149" s="13"/>
      <c r="P149" s="13"/>
      <c r="Q149" s="13"/>
      <c r="R149" s="13"/>
      <c r="T149" s="13"/>
      <c r="U149" s="13"/>
      <c r="Z149" s="13"/>
      <c r="AA149" s="13"/>
    </row>
    <row r="150" customFormat="false" ht="15" hidden="false" customHeight="true" outlineLevel="0" collapsed="false">
      <c r="C150" s="13"/>
      <c r="E150" s="13"/>
      <c r="F150" s="13"/>
      <c r="G150" s="13"/>
      <c r="H150" s="13"/>
      <c r="J150" s="13"/>
      <c r="K150" s="14"/>
      <c r="N150" s="16" t="str">
        <f aca="false">IF(L150="","",L150*M150)</f>
        <v/>
      </c>
      <c r="O150" s="13"/>
      <c r="P150" s="13"/>
      <c r="Q150" s="13"/>
      <c r="R150" s="13"/>
      <c r="T150" s="13"/>
      <c r="U150" s="13"/>
      <c r="Z150" s="13"/>
      <c r="AA150" s="13"/>
    </row>
    <row r="151" customFormat="false" ht="15" hidden="false" customHeight="true" outlineLevel="0" collapsed="false">
      <c r="C151" s="13"/>
      <c r="E151" s="13"/>
      <c r="F151" s="13"/>
      <c r="G151" s="13"/>
      <c r="H151" s="13"/>
      <c r="J151" s="13"/>
      <c r="K151" s="14"/>
      <c r="N151" s="16" t="str">
        <f aca="false">IF(L151="","",L151*M151)</f>
        <v/>
      </c>
      <c r="O151" s="13"/>
      <c r="P151" s="13"/>
      <c r="Q151" s="13"/>
      <c r="R151" s="13"/>
      <c r="T151" s="13"/>
      <c r="U151" s="13"/>
      <c r="Z151" s="13"/>
      <c r="AA151" s="13"/>
    </row>
    <row r="152" customFormat="false" ht="15" hidden="false" customHeight="true" outlineLevel="0" collapsed="false">
      <c r="C152" s="13"/>
      <c r="E152" s="13"/>
      <c r="F152" s="13"/>
      <c r="G152" s="13"/>
      <c r="H152" s="13"/>
      <c r="J152" s="13"/>
      <c r="K152" s="14"/>
      <c r="N152" s="16" t="str">
        <f aca="false">IF(L152="","",L152*M152)</f>
        <v/>
      </c>
      <c r="O152" s="13"/>
      <c r="P152" s="13"/>
      <c r="Q152" s="13"/>
      <c r="R152" s="13"/>
      <c r="T152" s="13"/>
      <c r="U152" s="13"/>
      <c r="Z152" s="13"/>
      <c r="AA152" s="13"/>
    </row>
    <row r="153" customFormat="false" ht="15" hidden="false" customHeight="true" outlineLevel="0" collapsed="false">
      <c r="C153" s="13"/>
      <c r="E153" s="13"/>
      <c r="F153" s="13"/>
      <c r="G153" s="13"/>
      <c r="H153" s="13"/>
      <c r="J153" s="13"/>
      <c r="K153" s="14"/>
      <c r="N153" s="16" t="str">
        <f aca="false">IF(L153="","",L153*M153)</f>
        <v/>
      </c>
      <c r="O153" s="13"/>
      <c r="P153" s="13"/>
      <c r="Q153" s="13"/>
      <c r="R153" s="13"/>
      <c r="T153" s="13"/>
      <c r="U153" s="13"/>
      <c r="Z153" s="13"/>
      <c r="AA153" s="13"/>
    </row>
    <row r="154" customFormat="false" ht="15" hidden="false" customHeight="true" outlineLevel="0" collapsed="false">
      <c r="C154" s="13"/>
      <c r="E154" s="13"/>
      <c r="F154" s="13"/>
      <c r="G154" s="13"/>
      <c r="H154" s="13"/>
      <c r="J154" s="13"/>
      <c r="K154" s="14"/>
      <c r="N154" s="16" t="str">
        <f aca="false">IF(L154="","",L154*M154)</f>
        <v/>
      </c>
      <c r="O154" s="13"/>
      <c r="P154" s="13"/>
      <c r="Q154" s="13"/>
      <c r="R154" s="13"/>
      <c r="T154" s="13"/>
      <c r="U154" s="13"/>
      <c r="Z154" s="13"/>
      <c r="AA154" s="13"/>
    </row>
    <row r="155" customFormat="false" ht="15" hidden="false" customHeight="true" outlineLevel="0" collapsed="false">
      <c r="C155" s="13"/>
      <c r="E155" s="13"/>
      <c r="F155" s="13"/>
      <c r="G155" s="13"/>
      <c r="H155" s="13"/>
      <c r="J155" s="13"/>
      <c r="K155" s="14"/>
      <c r="N155" s="16" t="str">
        <f aca="false">IF(L155="","",L155*M155)</f>
        <v/>
      </c>
      <c r="O155" s="13"/>
      <c r="P155" s="13"/>
      <c r="Q155" s="13"/>
      <c r="R155" s="13"/>
      <c r="T155" s="13"/>
      <c r="U155" s="13"/>
      <c r="Z155" s="13"/>
      <c r="AA155" s="13"/>
    </row>
    <row r="156" customFormat="false" ht="15" hidden="false" customHeight="true" outlineLevel="0" collapsed="false">
      <c r="C156" s="13"/>
      <c r="E156" s="13"/>
      <c r="F156" s="13"/>
      <c r="G156" s="13"/>
      <c r="H156" s="13"/>
      <c r="J156" s="13"/>
      <c r="K156" s="14"/>
      <c r="N156" s="16" t="str">
        <f aca="false">IF(L156="","",L156*M156)</f>
        <v/>
      </c>
      <c r="O156" s="13"/>
      <c r="P156" s="13"/>
      <c r="Q156" s="13"/>
      <c r="R156" s="13"/>
      <c r="T156" s="13"/>
      <c r="U156" s="13"/>
      <c r="Z156" s="13"/>
      <c r="AA156" s="13"/>
    </row>
    <row r="157" customFormat="false" ht="15" hidden="false" customHeight="true" outlineLevel="0" collapsed="false">
      <c r="C157" s="13"/>
      <c r="E157" s="13"/>
      <c r="F157" s="13"/>
      <c r="G157" s="13"/>
      <c r="H157" s="13"/>
      <c r="J157" s="13"/>
      <c r="K157" s="14"/>
      <c r="N157" s="16" t="str">
        <f aca="false">IF(L157="","",L157*M157)</f>
        <v/>
      </c>
      <c r="O157" s="13"/>
      <c r="P157" s="13"/>
      <c r="Q157" s="13"/>
      <c r="R157" s="13"/>
      <c r="T157" s="13"/>
      <c r="U157" s="13"/>
      <c r="Z157" s="13"/>
      <c r="AA157" s="13"/>
    </row>
    <row r="158" customFormat="false" ht="15" hidden="false" customHeight="true" outlineLevel="0" collapsed="false">
      <c r="C158" s="13"/>
      <c r="E158" s="13"/>
      <c r="F158" s="13"/>
      <c r="G158" s="13"/>
      <c r="H158" s="13"/>
      <c r="J158" s="13"/>
      <c r="K158" s="14"/>
      <c r="N158" s="16" t="str">
        <f aca="false">IF(L158="","",L158*M158)</f>
        <v/>
      </c>
      <c r="O158" s="13"/>
      <c r="P158" s="13"/>
      <c r="Q158" s="13"/>
      <c r="R158" s="13"/>
      <c r="T158" s="13"/>
      <c r="U158" s="13"/>
      <c r="Z158" s="13"/>
      <c r="AA158" s="13"/>
    </row>
    <row r="159" customFormat="false" ht="15" hidden="false" customHeight="true" outlineLevel="0" collapsed="false">
      <c r="C159" s="13"/>
      <c r="E159" s="13"/>
      <c r="F159" s="13"/>
      <c r="G159" s="13"/>
      <c r="H159" s="13"/>
      <c r="J159" s="13"/>
      <c r="K159" s="14"/>
      <c r="N159" s="16" t="str">
        <f aca="false">IF(L159="","",L159*M159)</f>
        <v/>
      </c>
      <c r="O159" s="13"/>
      <c r="P159" s="13"/>
      <c r="Q159" s="13"/>
      <c r="R159" s="13"/>
      <c r="T159" s="13"/>
      <c r="U159" s="13"/>
      <c r="Z159" s="13"/>
      <c r="AA159" s="13"/>
    </row>
    <row r="160" customFormat="false" ht="15" hidden="false" customHeight="true" outlineLevel="0" collapsed="false">
      <c r="C160" s="13"/>
      <c r="E160" s="13"/>
      <c r="F160" s="13"/>
      <c r="G160" s="13"/>
      <c r="H160" s="13"/>
      <c r="J160" s="13"/>
      <c r="K160" s="14"/>
      <c r="N160" s="16" t="str">
        <f aca="false">IF(L160="","",L160*M160)</f>
        <v/>
      </c>
      <c r="O160" s="13"/>
      <c r="P160" s="13"/>
      <c r="Q160" s="13"/>
      <c r="R160" s="13"/>
      <c r="T160" s="13"/>
      <c r="U160" s="13"/>
      <c r="Z160" s="13"/>
      <c r="AA160" s="13"/>
    </row>
    <row r="161" customFormat="false" ht="15" hidden="false" customHeight="true" outlineLevel="0" collapsed="false">
      <c r="C161" s="13"/>
      <c r="E161" s="13"/>
      <c r="F161" s="13"/>
      <c r="G161" s="13"/>
      <c r="H161" s="13"/>
      <c r="J161" s="13"/>
      <c r="K161" s="14"/>
      <c r="N161" s="16" t="str">
        <f aca="false">IF(L161="","",L161*M161)</f>
        <v/>
      </c>
      <c r="O161" s="13"/>
      <c r="P161" s="13"/>
      <c r="Q161" s="13"/>
      <c r="R161" s="13"/>
      <c r="T161" s="13"/>
      <c r="U161" s="13"/>
      <c r="Z161" s="13"/>
      <c r="AA161" s="13"/>
    </row>
    <row r="162" customFormat="false" ht="15" hidden="false" customHeight="true" outlineLevel="0" collapsed="false">
      <c r="C162" s="13"/>
      <c r="E162" s="13"/>
      <c r="F162" s="13"/>
      <c r="G162" s="13"/>
      <c r="H162" s="13"/>
      <c r="J162" s="13"/>
      <c r="K162" s="14"/>
      <c r="N162" s="16" t="str">
        <f aca="false">IF(L162="","",L162*M162)</f>
        <v/>
      </c>
      <c r="O162" s="13"/>
      <c r="P162" s="13"/>
      <c r="Q162" s="13"/>
      <c r="R162" s="13"/>
      <c r="T162" s="13"/>
      <c r="U162" s="13"/>
      <c r="Z162" s="13"/>
      <c r="AA162" s="13"/>
    </row>
    <row r="163" customFormat="false" ht="15" hidden="false" customHeight="true" outlineLevel="0" collapsed="false">
      <c r="C163" s="13"/>
      <c r="E163" s="13"/>
      <c r="F163" s="13"/>
      <c r="G163" s="13"/>
      <c r="H163" s="13"/>
      <c r="J163" s="13"/>
      <c r="K163" s="14"/>
      <c r="N163" s="16" t="str">
        <f aca="false">IF(L163="","",L163*M163)</f>
        <v/>
      </c>
      <c r="O163" s="13"/>
      <c r="P163" s="13"/>
      <c r="Q163" s="13"/>
      <c r="R163" s="13"/>
      <c r="T163" s="13"/>
      <c r="U163" s="13"/>
      <c r="Z163" s="13"/>
      <c r="AA163" s="13"/>
    </row>
    <row r="164" customFormat="false" ht="15" hidden="false" customHeight="true" outlineLevel="0" collapsed="false">
      <c r="C164" s="13"/>
      <c r="E164" s="13"/>
      <c r="F164" s="13"/>
      <c r="G164" s="13"/>
      <c r="H164" s="13"/>
      <c r="J164" s="13"/>
      <c r="K164" s="14"/>
      <c r="N164" s="16" t="str">
        <f aca="false">IF(L164="","",L164*M164)</f>
        <v/>
      </c>
      <c r="O164" s="13"/>
      <c r="P164" s="13"/>
      <c r="Q164" s="13"/>
      <c r="R164" s="13"/>
      <c r="T164" s="13"/>
      <c r="U164" s="13"/>
      <c r="Z164" s="13"/>
      <c r="AA164" s="13"/>
    </row>
    <row r="165" customFormat="false" ht="15" hidden="false" customHeight="true" outlineLevel="0" collapsed="false">
      <c r="C165" s="13"/>
      <c r="E165" s="13"/>
      <c r="F165" s="13"/>
      <c r="G165" s="13"/>
      <c r="H165" s="13"/>
      <c r="J165" s="13"/>
      <c r="K165" s="14"/>
      <c r="N165" s="16" t="str">
        <f aca="false">IF(L165="","",L165*M165)</f>
        <v/>
      </c>
      <c r="O165" s="13"/>
      <c r="P165" s="13"/>
      <c r="Q165" s="13"/>
      <c r="R165" s="13"/>
      <c r="T165" s="13"/>
      <c r="U165" s="13"/>
      <c r="Z165" s="13"/>
      <c r="AA165" s="13"/>
    </row>
    <row r="166" customFormat="false" ht="15" hidden="false" customHeight="true" outlineLevel="0" collapsed="false">
      <c r="C166" s="13"/>
      <c r="E166" s="13"/>
      <c r="F166" s="13"/>
      <c r="G166" s="13"/>
      <c r="H166" s="13"/>
      <c r="J166" s="13"/>
      <c r="K166" s="14"/>
      <c r="N166" s="16" t="str">
        <f aca="false">IF(L166="","",L166*M166)</f>
        <v/>
      </c>
      <c r="O166" s="13"/>
      <c r="P166" s="13"/>
      <c r="Q166" s="13"/>
      <c r="R166" s="13"/>
      <c r="T166" s="13"/>
      <c r="U166" s="13"/>
      <c r="Z166" s="13"/>
      <c r="AA166" s="13"/>
    </row>
    <row r="167" customFormat="false" ht="15" hidden="false" customHeight="true" outlineLevel="0" collapsed="false">
      <c r="C167" s="13"/>
      <c r="E167" s="13"/>
      <c r="F167" s="13"/>
      <c r="G167" s="13"/>
      <c r="H167" s="13"/>
      <c r="J167" s="13"/>
      <c r="K167" s="14"/>
      <c r="N167" s="16" t="str">
        <f aca="false">IF(L167="","",L167*M167)</f>
        <v/>
      </c>
      <c r="O167" s="13"/>
      <c r="P167" s="13"/>
      <c r="Q167" s="13"/>
      <c r="R167" s="13"/>
      <c r="T167" s="13"/>
      <c r="U167" s="13"/>
      <c r="Z167" s="13"/>
      <c r="AA167" s="13"/>
    </row>
    <row r="168" customFormat="false" ht="15" hidden="false" customHeight="true" outlineLevel="0" collapsed="false">
      <c r="C168" s="13"/>
      <c r="E168" s="13"/>
      <c r="F168" s="13"/>
      <c r="G168" s="13"/>
      <c r="H168" s="13"/>
      <c r="J168" s="13"/>
      <c r="K168" s="14"/>
      <c r="N168" s="16" t="str">
        <f aca="false">IF(L168="","",L168*M168)</f>
        <v/>
      </c>
      <c r="O168" s="13"/>
      <c r="P168" s="13"/>
      <c r="Q168" s="13"/>
      <c r="R168" s="13"/>
      <c r="T168" s="13"/>
      <c r="U168" s="13"/>
      <c r="Z168" s="13"/>
      <c r="AA168" s="13"/>
    </row>
    <row r="169" customFormat="false" ht="15" hidden="false" customHeight="true" outlineLevel="0" collapsed="false">
      <c r="C169" s="13"/>
      <c r="E169" s="13"/>
      <c r="F169" s="13"/>
      <c r="G169" s="13"/>
      <c r="H169" s="13"/>
      <c r="J169" s="13"/>
      <c r="K169" s="14"/>
      <c r="N169" s="16" t="str">
        <f aca="false">IF(L169="","",L169*M169)</f>
        <v/>
      </c>
      <c r="O169" s="13"/>
      <c r="P169" s="13"/>
      <c r="Q169" s="13"/>
      <c r="R169" s="13"/>
      <c r="T169" s="13"/>
      <c r="U169" s="13"/>
      <c r="Z169" s="13"/>
      <c r="AA169" s="13"/>
    </row>
    <row r="170" customFormat="false" ht="15" hidden="false" customHeight="true" outlineLevel="0" collapsed="false">
      <c r="C170" s="13"/>
      <c r="E170" s="13"/>
      <c r="F170" s="13"/>
      <c r="G170" s="13"/>
      <c r="H170" s="13"/>
      <c r="J170" s="13"/>
      <c r="K170" s="14"/>
      <c r="N170" s="16" t="str">
        <f aca="false">IF(L170="","",L170*M170)</f>
        <v/>
      </c>
      <c r="O170" s="13"/>
      <c r="P170" s="13"/>
      <c r="Q170" s="13"/>
      <c r="R170" s="13"/>
      <c r="T170" s="13"/>
      <c r="U170" s="13"/>
      <c r="Z170" s="13"/>
      <c r="AA170" s="13"/>
    </row>
    <row r="171" customFormat="false" ht="15" hidden="false" customHeight="true" outlineLevel="0" collapsed="false">
      <c r="C171" s="13"/>
      <c r="E171" s="13"/>
      <c r="F171" s="13"/>
      <c r="G171" s="13"/>
      <c r="H171" s="13"/>
      <c r="J171" s="13"/>
      <c r="K171" s="14"/>
      <c r="N171" s="16" t="str">
        <f aca="false">IF(L171="","",L171*M171)</f>
        <v/>
      </c>
      <c r="O171" s="13"/>
      <c r="P171" s="13"/>
      <c r="Q171" s="13"/>
      <c r="R171" s="13"/>
      <c r="T171" s="13"/>
      <c r="U171" s="13"/>
      <c r="Z171" s="13"/>
      <c r="AA171" s="13"/>
    </row>
    <row r="172" customFormat="false" ht="15" hidden="false" customHeight="true" outlineLevel="0" collapsed="false">
      <c r="C172" s="13"/>
      <c r="E172" s="13"/>
      <c r="F172" s="13"/>
      <c r="G172" s="13"/>
      <c r="H172" s="13"/>
      <c r="J172" s="13"/>
      <c r="K172" s="14"/>
      <c r="N172" s="16" t="str">
        <f aca="false">IF(L172="","",L172*M172)</f>
        <v/>
      </c>
      <c r="O172" s="13"/>
      <c r="P172" s="13"/>
      <c r="Q172" s="13"/>
      <c r="R172" s="13"/>
      <c r="T172" s="13"/>
      <c r="U172" s="13"/>
      <c r="Z172" s="13"/>
      <c r="AA172" s="13"/>
    </row>
    <row r="173" customFormat="false" ht="15" hidden="false" customHeight="true" outlineLevel="0" collapsed="false">
      <c r="C173" s="13"/>
      <c r="E173" s="13"/>
      <c r="F173" s="13"/>
      <c r="G173" s="13"/>
      <c r="H173" s="13"/>
      <c r="J173" s="13"/>
      <c r="K173" s="14"/>
      <c r="N173" s="16" t="str">
        <f aca="false">IF(L173="","",L173*M173)</f>
        <v/>
      </c>
      <c r="O173" s="13"/>
      <c r="P173" s="13"/>
      <c r="Q173" s="13"/>
      <c r="R173" s="13"/>
      <c r="T173" s="13"/>
      <c r="U173" s="13"/>
      <c r="Z173" s="13"/>
      <c r="AA173" s="13"/>
    </row>
    <row r="174" customFormat="false" ht="15" hidden="false" customHeight="true" outlineLevel="0" collapsed="false">
      <c r="C174" s="13"/>
      <c r="E174" s="13"/>
      <c r="F174" s="13"/>
      <c r="G174" s="13"/>
      <c r="H174" s="13"/>
      <c r="J174" s="13"/>
      <c r="K174" s="14"/>
      <c r="N174" s="16" t="str">
        <f aca="false">IF(L174="","",L174*M174)</f>
        <v/>
      </c>
      <c r="O174" s="13"/>
      <c r="P174" s="13"/>
      <c r="Q174" s="13"/>
      <c r="R174" s="13"/>
      <c r="T174" s="13"/>
      <c r="U174" s="13"/>
      <c r="Z174" s="13"/>
      <c r="AA174" s="13"/>
    </row>
    <row r="175" customFormat="false" ht="15" hidden="false" customHeight="true" outlineLevel="0" collapsed="false">
      <c r="C175" s="13"/>
      <c r="E175" s="13"/>
      <c r="F175" s="13"/>
      <c r="G175" s="13"/>
      <c r="H175" s="13"/>
      <c r="J175" s="13"/>
      <c r="K175" s="14"/>
      <c r="N175" s="16" t="str">
        <f aca="false">IF(L175="","",L175*M175)</f>
        <v/>
      </c>
      <c r="O175" s="13"/>
      <c r="P175" s="13"/>
      <c r="Q175" s="13"/>
      <c r="R175" s="13"/>
      <c r="T175" s="13"/>
      <c r="U175" s="13"/>
      <c r="Z175" s="13"/>
      <c r="AA175" s="13"/>
    </row>
    <row r="176" customFormat="false" ht="15" hidden="false" customHeight="true" outlineLevel="0" collapsed="false">
      <c r="C176" s="13"/>
      <c r="E176" s="13"/>
      <c r="F176" s="13"/>
      <c r="G176" s="13"/>
      <c r="H176" s="13"/>
      <c r="J176" s="13"/>
      <c r="K176" s="14"/>
      <c r="N176" s="16" t="str">
        <f aca="false">IF(L176="","",L176*M176)</f>
        <v/>
      </c>
      <c r="O176" s="13"/>
      <c r="P176" s="13"/>
      <c r="Q176" s="13"/>
      <c r="R176" s="13"/>
      <c r="T176" s="13"/>
      <c r="U176" s="13"/>
      <c r="Z176" s="13"/>
      <c r="AA176" s="13"/>
    </row>
    <row r="177" customFormat="false" ht="15" hidden="false" customHeight="true" outlineLevel="0" collapsed="false">
      <c r="C177" s="13"/>
      <c r="E177" s="13"/>
      <c r="F177" s="13"/>
      <c r="G177" s="13"/>
      <c r="H177" s="13"/>
      <c r="J177" s="13"/>
      <c r="K177" s="14"/>
      <c r="N177" s="16" t="str">
        <f aca="false">IF(L177="","",L177*M177)</f>
        <v/>
      </c>
      <c r="O177" s="13"/>
      <c r="P177" s="13"/>
      <c r="Q177" s="13"/>
      <c r="R177" s="13"/>
      <c r="T177" s="13"/>
      <c r="U177" s="13"/>
      <c r="Z177" s="13"/>
      <c r="AA177" s="13"/>
    </row>
    <row r="178" customFormat="false" ht="15" hidden="false" customHeight="true" outlineLevel="0" collapsed="false">
      <c r="C178" s="13"/>
      <c r="E178" s="13"/>
      <c r="F178" s="13"/>
      <c r="G178" s="13"/>
      <c r="H178" s="13"/>
      <c r="J178" s="13"/>
      <c r="K178" s="14"/>
      <c r="N178" s="16" t="str">
        <f aca="false">IF(L178="","",L178*M178)</f>
        <v/>
      </c>
      <c r="O178" s="13"/>
      <c r="P178" s="13"/>
      <c r="Q178" s="13"/>
      <c r="R178" s="13"/>
      <c r="T178" s="13"/>
      <c r="U178" s="13"/>
      <c r="Z178" s="13"/>
      <c r="AA178" s="13"/>
    </row>
    <row r="179" customFormat="false" ht="15" hidden="false" customHeight="true" outlineLevel="0" collapsed="false">
      <c r="C179" s="13"/>
      <c r="E179" s="13"/>
      <c r="F179" s="13"/>
      <c r="G179" s="13"/>
      <c r="H179" s="13"/>
      <c r="J179" s="13"/>
      <c r="K179" s="14"/>
      <c r="N179" s="16" t="str">
        <f aca="false">IF(L179="","",L179*M179)</f>
        <v/>
      </c>
      <c r="O179" s="13"/>
      <c r="P179" s="13"/>
      <c r="Q179" s="13"/>
      <c r="R179" s="13"/>
      <c r="T179" s="13"/>
      <c r="U179" s="13"/>
      <c r="Z179" s="13"/>
      <c r="AA179" s="13"/>
    </row>
    <row r="180" customFormat="false" ht="15" hidden="false" customHeight="true" outlineLevel="0" collapsed="false">
      <c r="C180" s="13"/>
      <c r="E180" s="13"/>
      <c r="F180" s="13"/>
      <c r="G180" s="13"/>
      <c r="H180" s="13"/>
      <c r="J180" s="13"/>
      <c r="K180" s="14"/>
      <c r="N180" s="16" t="str">
        <f aca="false">IF(L180="","",L180*M180)</f>
        <v/>
      </c>
      <c r="O180" s="13"/>
      <c r="P180" s="13"/>
      <c r="Q180" s="13"/>
      <c r="R180" s="13"/>
      <c r="T180" s="13"/>
      <c r="U180" s="13"/>
      <c r="Z180" s="13"/>
      <c r="AA180" s="13"/>
    </row>
    <row r="181" customFormat="false" ht="15" hidden="false" customHeight="true" outlineLevel="0" collapsed="false">
      <c r="C181" s="13"/>
      <c r="E181" s="13"/>
      <c r="F181" s="13"/>
      <c r="G181" s="13"/>
      <c r="H181" s="13"/>
      <c r="J181" s="13"/>
      <c r="K181" s="14"/>
      <c r="N181" s="16" t="str">
        <f aca="false">IF(L181="","",L181*M181)</f>
        <v/>
      </c>
      <c r="O181" s="13"/>
      <c r="P181" s="13"/>
      <c r="Q181" s="13"/>
      <c r="R181" s="13"/>
      <c r="T181" s="13"/>
      <c r="U181" s="13"/>
      <c r="Z181" s="13"/>
      <c r="AA181" s="13"/>
    </row>
    <row r="182" customFormat="false" ht="15" hidden="false" customHeight="true" outlineLevel="0" collapsed="false">
      <c r="C182" s="13"/>
      <c r="E182" s="13"/>
      <c r="F182" s="13"/>
      <c r="G182" s="13"/>
      <c r="H182" s="13"/>
      <c r="J182" s="13"/>
      <c r="K182" s="14"/>
      <c r="N182" s="16" t="str">
        <f aca="false">IF(L182="","",L182*M182)</f>
        <v/>
      </c>
      <c r="O182" s="13"/>
      <c r="P182" s="13"/>
      <c r="Q182" s="13"/>
      <c r="R182" s="13"/>
      <c r="T182" s="13"/>
      <c r="U182" s="13"/>
      <c r="Z182" s="13"/>
      <c r="AA182" s="13"/>
    </row>
    <row r="183" customFormat="false" ht="15" hidden="false" customHeight="true" outlineLevel="0" collapsed="false">
      <c r="C183" s="13"/>
      <c r="E183" s="13"/>
      <c r="F183" s="13"/>
      <c r="G183" s="13"/>
      <c r="H183" s="13"/>
      <c r="J183" s="13"/>
      <c r="K183" s="14"/>
      <c r="N183" s="16" t="str">
        <f aca="false">IF(L183="","",L183*M183)</f>
        <v/>
      </c>
      <c r="O183" s="13"/>
      <c r="P183" s="13"/>
      <c r="Q183" s="13"/>
      <c r="R183" s="13"/>
      <c r="T183" s="13"/>
      <c r="U183" s="13"/>
      <c r="Z183" s="13"/>
      <c r="AA183" s="13"/>
    </row>
    <row r="184" customFormat="false" ht="15" hidden="false" customHeight="true" outlineLevel="0" collapsed="false">
      <c r="C184" s="13"/>
      <c r="E184" s="13"/>
      <c r="F184" s="13"/>
      <c r="G184" s="13"/>
      <c r="H184" s="13"/>
      <c r="J184" s="13"/>
      <c r="K184" s="14"/>
      <c r="N184" s="16" t="str">
        <f aca="false">IF(L184="","",L184*M184)</f>
        <v/>
      </c>
      <c r="O184" s="13"/>
      <c r="P184" s="13"/>
      <c r="Q184" s="13"/>
      <c r="R184" s="13"/>
      <c r="T184" s="13"/>
      <c r="U184" s="13"/>
      <c r="Z184" s="13"/>
      <c r="AA184" s="13"/>
    </row>
    <row r="185" customFormat="false" ht="15" hidden="false" customHeight="true" outlineLevel="0" collapsed="false">
      <c r="C185" s="13"/>
      <c r="E185" s="13"/>
      <c r="F185" s="13"/>
      <c r="G185" s="13"/>
      <c r="H185" s="13"/>
      <c r="J185" s="13"/>
      <c r="K185" s="14"/>
      <c r="N185" s="16" t="str">
        <f aca="false">IF(L185="","",L185*M185)</f>
        <v/>
      </c>
      <c r="O185" s="13"/>
      <c r="P185" s="13"/>
      <c r="Q185" s="13"/>
      <c r="R185" s="13"/>
      <c r="T185" s="13"/>
      <c r="U185" s="13"/>
      <c r="Z185" s="13"/>
      <c r="AA185" s="13"/>
    </row>
    <row r="186" customFormat="false" ht="15" hidden="false" customHeight="true" outlineLevel="0" collapsed="false">
      <c r="C186" s="13"/>
      <c r="E186" s="13"/>
      <c r="F186" s="13"/>
      <c r="G186" s="13"/>
      <c r="H186" s="13"/>
      <c r="J186" s="13"/>
      <c r="K186" s="14"/>
      <c r="N186" s="16" t="str">
        <f aca="false">IF(L186="","",L186*M186)</f>
        <v/>
      </c>
      <c r="O186" s="13"/>
      <c r="P186" s="13"/>
      <c r="Q186" s="13"/>
      <c r="R186" s="13"/>
      <c r="T186" s="13"/>
      <c r="U186" s="13"/>
      <c r="Z186" s="13"/>
      <c r="AA186" s="13"/>
    </row>
    <row r="187" customFormat="false" ht="15" hidden="false" customHeight="true" outlineLevel="0" collapsed="false">
      <c r="C187" s="13"/>
      <c r="E187" s="13"/>
      <c r="F187" s="13"/>
      <c r="G187" s="13"/>
      <c r="H187" s="13"/>
      <c r="J187" s="13"/>
      <c r="K187" s="14"/>
      <c r="N187" s="16" t="str">
        <f aca="false">IF(L187="","",L187*M187)</f>
        <v/>
      </c>
      <c r="O187" s="13"/>
      <c r="P187" s="13"/>
      <c r="Q187" s="13"/>
      <c r="R187" s="13"/>
      <c r="T187" s="13"/>
      <c r="U187" s="13"/>
      <c r="Z187" s="13"/>
      <c r="AA187" s="13"/>
    </row>
    <row r="188" customFormat="false" ht="15" hidden="false" customHeight="true" outlineLevel="0" collapsed="false">
      <c r="C188" s="13"/>
      <c r="E188" s="13"/>
      <c r="F188" s="13"/>
      <c r="G188" s="13"/>
      <c r="H188" s="13"/>
      <c r="J188" s="13"/>
      <c r="K188" s="14"/>
      <c r="N188" s="16" t="str">
        <f aca="false">IF(L188="","",L188*M188)</f>
        <v/>
      </c>
      <c r="O188" s="13"/>
      <c r="P188" s="13"/>
      <c r="Q188" s="13"/>
      <c r="R188" s="13"/>
      <c r="T188" s="13"/>
      <c r="U188" s="13"/>
      <c r="Z188" s="13"/>
      <c r="AA188" s="13"/>
    </row>
    <row r="189" customFormat="false" ht="15" hidden="false" customHeight="true" outlineLevel="0" collapsed="false">
      <c r="C189" s="13"/>
      <c r="E189" s="13"/>
      <c r="F189" s="13"/>
      <c r="G189" s="13"/>
      <c r="H189" s="13"/>
      <c r="J189" s="13"/>
      <c r="K189" s="14"/>
      <c r="N189" s="16" t="str">
        <f aca="false">IF(L189="","",L189*M189)</f>
        <v/>
      </c>
      <c r="O189" s="13"/>
      <c r="P189" s="13"/>
      <c r="Q189" s="13"/>
      <c r="R189" s="13"/>
      <c r="T189" s="13"/>
      <c r="U189" s="13"/>
      <c r="Z189" s="13"/>
      <c r="AA189" s="13"/>
    </row>
    <row r="190" customFormat="false" ht="15" hidden="false" customHeight="true" outlineLevel="0" collapsed="false">
      <c r="C190" s="13"/>
      <c r="E190" s="13"/>
      <c r="F190" s="13"/>
      <c r="G190" s="13"/>
      <c r="H190" s="13"/>
      <c r="J190" s="13"/>
      <c r="K190" s="14"/>
      <c r="N190" s="16" t="str">
        <f aca="false">IF(L190="","",L190*M190)</f>
        <v/>
      </c>
      <c r="O190" s="13"/>
      <c r="P190" s="13"/>
      <c r="Q190" s="13"/>
      <c r="R190" s="13"/>
      <c r="T190" s="13"/>
      <c r="U190" s="13"/>
      <c r="Z190" s="13"/>
      <c r="AA190" s="13"/>
    </row>
    <row r="191" customFormat="false" ht="15" hidden="false" customHeight="true" outlineLevel="0" collapsed="false">
      <c r="C191" s="13"/>
      <c r="E191" s="13"/>
      <c r="F191" s="13"/>
      <c r="G191" s="13"/>
      <c r="H191" s="13"/>
      <c r="J191" s="13"/>
      <c r="K191" s="14"/>
      <c r="N191" s="16" t="str">
        <f aca="false">IF(L191="","",L191*M191)</f>
        <v/>
      </c>
      <c r="O191" s="13"/>
      <c r="P191" s="13"/>
      <c r="Q191" s="13"/>
      <c r="R191" s="13"/>
      <c r="T191" s="13"/>
      <c r="U191" s="13"/>
      <c r="Z191" s="13"/>
      <c r="AA191" s="13"/>
    </row>
    <row r="192" customFormat="false" ht="15" hidden="false" customHeight="true" outlineLevel="0" collapsed="false">
      <c r="C192" s="13"/>
      <c r="E192" s="13"/>
      <c r="F192" s="13"/>
      <c r="G192" s="13"/>
      <c r="H192" s="13"/>
      <c r="J192" s="13"/>
      <c r="K192" s="14"/>
      <c r="N192" s="16" t="str">
        <f aca="false">IF(L192="","",L192*M192)</f>
        <v/>
      </c>
      <c r="O192" s="13"/>
      <c r="P192" s="13"/>
      <c r="Q192" s="13"/>
      <c r="R192" s="13"/>
      <c r="T192" s="13"/>
      <c r="U192" s="13"/>
      <c r="Z192" s="13"/>
      <c r="AA192" s="13"/>
    </row>
    <row r="193" customFormat="false" ht="15" hidden="false" customHeight="true" outlineLevel="0" collapsed="false">
      <c r="C193" s="13"/>
      <c r="E193" s="13"/>
      <c r="F193" s="13"/>
      <c r="G193" s="13"/>
      <c r="H193" s="13"/>
      <c r="J193" s="13"/>
      <c r="K193" s="14"/>
      <c r="N193" s="16" t="str">
        <f aca="false">IF(L193="","",L193*M193)</f>
        <v/>
      </c>
      <c r="O193" s="13"/>
      <c r="P193" s="13"/>
      <c r="Q193" s="13"/>
      <c r="R193" s="13"/>
      <c r="T193" s="13"/>
      <c r="U193" s="13"/>
      <c r="Z193" s="13"/>
      <c r="AA193" s="13"/>
    </row>
    <row r="194" customFormat="false" ht="15" hidden="false" customHeight="true" outlineLevel="0" collapsed="false">
      <c r="C194" s="13"/>
      <c r="E194" s="13"/>
      <c r="F194" s="13"/>
      <c r="G194" s="13"/>
      <c r="H194" s="13"/>
      <c r="J194" s="13"/>
      <c r="K194" s="14"/>
      <c r="N194" s="16" t="str">
        <f aca="false">IF(L194="","",L194*M194)</f>
        <v/>
      </c>
      <c r="O194" s="13"/>
      <c r="P194" s="13"/>
      <c r="Q194" s="13"/>
      <c r="R194" s="13"/>
      <c r="T194" s="13"/>
      <c r="U194" s="13"/>
      <c r="Z194" s="13"/>
      <c r="AA194" s="13"/>
    </row>
    <row r="195" customFormat="false" ht="15" hidden="false" customHeight="true" outlineLevel="0" collapsed="false">
      <c r="C195" s="13"/>
      <c r="E195" s="13"/>
      <c r="F195" s="13"/>
      <c r="G195" s="13"/>
      <c r="H195" s="13"/>
      <c r="J195" s="13"/>
      <c r="K195" s="14"/>
      <c r="N195" s="16" t="str">
        <f aca="false">IF(L195="","",L195*M195)</f>
        <v/>
      </c>
      <c r="O195" s="13"/>
      <c r="P195" s="13"/>
      <c r="Q195" s="13"/>
      <c r="R195" s="13"/>
      <c r="T195" s="13"/>
      <c r="U195" s="13"/>
      <c r="Z195" s="13"/>
      <c r="AA195" s="13"/>
    </row>
    <row r="196" customFormat="false" ht="15" hidden="false" customHeight="true" outlineLevel="0" collapsed="false">
      <c r="C196" s="13"/>
      <c r="E196" s="13"/>
      <c r="F196" s="13"/>
      <c r="G196" s="13"/>
      <c r="H196" s="13"/>
      <c r="J196" s="13"/>
      <c r="K196" s="14"/>
      <c r="N196" s="16" t="str">
        <f aca="false">IF(L196="","",L196*M196)</f>
        <v/>
      </c>
      <c r="O196" s="13"/>
      <c r="P196" s="13"/>
      <c r="Q196" s="13"/>
      <c r="R196" s="13"/>
      <c r="T196" s="13"/>
      <c r="U196" s="13"/>
      <c r="Z196" s="13"/>
      <c r="AA196" s="13"/>
    </row>
    <row r="197" customFormat="false" ht="15" hidden="false" customHeight="true" outlineLevel="0" collapsed="false">
      <c r="C197" s="13"/>
      <c r="E197" s="13"/>
      <c r="F197" s="13"/>
      <c r="G197" s="13"/>
      <c r="H197" s="13"/>
      <c r="J197" s="13"/>
      <c r="K197" s="14"/>
      <c r="N197" s="16" t="str">
        <f aca="false">IF(L197="","",L197*M197)</f>
        <v/>
      </c>
      <c r="O197" s="13"/>
      <c r="P197" s="13"/>
      <c r="Q197" s="13"/>
      <c r="R197" s="13"/>
      <c r="T197" s="13"/>
      <c r="U197" s="13"/>
      <c r="Z197" s="13"/>
      <c r="AA197" s="13"/>
    </row>
    <row r="198" customFormat="false" ht="15" hidden="false" customHeight="true" outlineLevel="0" collapsed="false">
      <c r="C198" s="13"/>
      <c r="E198" s="13"/>
      <c r="F198" s="13"/>
      <c r="G198" s="13"/>
      <c r="H198" s="13"/>
      <c r="J198" s="13"/>
      <c r="K198" s="14"/>
      <c r="N198" s="16" t="str">
        <f aca="false">IF(L198="","",L198*M198)</f>
        <v/>
      </c>
      <c r="O198" s="13"/>
      <c r="P198" s="13"/>
      <c r="Q198" s="13"/>
      <c r="R198" s="13"/>
      <c r="T198" s="13"/>
      <c r="U198" s="13"/>
      <c r="Z198" s="13"/>
      <c r="AA198" s="13"/>
    </row>
    <row r="199" customFormat="false" ht="15" hidden="false" customHeight="true" outlineLevel="0" collapsed="false">
      <c r="C199" s="13"/>
      <c r="E199" s="13"/>
      <c r="F199" s="13"/>
      <c r="G199" s="13"/>
      <c r="H199" s="13"/>
      <c r="J199" s="13"/>
      <c r="K199" s="14"/>
      <c r="N199" s="16" t="str">
        <f aca="false">IF(L199="","",L199*M199)</f>
        <v/>
      </c>
      <c r="O199" s="13"/>
      <c r="P199" s="13"/>
      <c r="Q199" s="13"/>
      <c r="R199" s="13"/>
      <c r="T199" s="13"/>
      <c r="U199" s="13"/>
      <c r="Z199" s="13"/>
      <c r="AA199" s="13"/>
    </row>
    <row r="200" customFormat="false" ht="15" hidden="false" customHeight="true" outlineLevel="0" collapsed="false">
      <c r="C200" s="13"/>
      <c r="E200" s="13"/>
      <c r="F200" s="13"/>
      <c r="G200" s="13"/>
      <c r="H200" s="13"/>
      <c r="J200" s="13"/>
      <c r="K200" s="14"/>
      <c r="N200" s="16" t="str">
        <f aca="false">IF(L200="","",L200*M200)</f>
        <v/>
      </c>
      <c r="O200" s="13"/>
      <c r="P200" s="13"/>
      <c r="Q200" s="13"/>
      <c r="R200" s="13"/>
      <c r="T200" s="13"/>
      <c r="U200" s="13"/>
      <c r="Z200" s="13"/>
      <c r="AA200" s="13"/>
    </row>
  </sheetData>
  <autoFilter ref="A1:AB1"/>
  <dataValidations count="14"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E2:E200" type="list">
      <formula1>lists!$A$2:$A$15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G2:G200" type="list">
      <formula1>lists!$B$2:$B$14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F2:F200" type="list">
      <formula1>lists!$C$2:$C$8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H2:H200" type="list">
      <formula1>lists!$D$2:$D$6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C2:C200" type="list">
      <formula1>lists!$E$2:$E$7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Q2:Q200" type="list">
      <formula1>lists!$F$2:$F$6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R2:R200" type="list">
      <formula1>lists!$G$2:$G$3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J2:J200" type="list">
      <formula1>lists!$H$2:$H$10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O2:O200" type="list">
      <formula1>lists!$I$2:$I$15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P2:P200" type="list">
      <formula1>lists!$J$2:$J$7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U2:U200" type="list">
      <formula1>lists!$K$2:$K$6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Z2:Z200" type="list">
      <formula1>lists!$L$2:$L$4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AA2:AA200" type="list">
      <formula1>lists!$M$2:$M$3</formula1>
      <formula2>0</formula2>
    </dataValidation>
    <dataValidation allowBlank="true" error="Add the term to the lists sheet, then extend this dropdown. Do not free-type." errorStyle="stop" errorTitle="Not in controlled vocabulary" operator="between" showDropDown="false" showErrorMessage="true" showInputMessage="false" sqref="T2:T200" type="list">
      <formula1>lists!$N$2:$N$3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2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54"/>
  </cols>
  <sheetData>
    <row r="1" customFormat="false" ht="15.75" hidden="false" customHeight="true" outlineLevel="0" collapsed="false">
      <c r="A1" s="17" t="s">
        <v>270</v>
      </c>
      <c r="B1" s="17"/>
      <c r="C1" s="17"/>
      <c r="D1" s="17"/>
      <c r="E1" s="17"/>
    </row>
    <row r="2" customFormat="false" ht="15" hidden="false" customHeight="true" outlineLevel="0" collapsed="false">
      <c r="A2" s="5" t="s">
        <v>271</v>
      </c>
      <c r="B2" s="5" t="s">
        <v>272</v>
      </c>
      <c r="C2" s="5" t="s">
        <v>273</v>
      </c>
      <c r="D2" s="5" t="s">
        <v>274</v>
      </c>
      <c r="E2" s="5" t="s">
        <v>275</v>
      </c>
    </row>
    <row r="3" customFormat="false" ht="25.5" hidden="false" customHeight="true" outlineLevel="0" collapsed="false">
      <c r="A3" s="18" t="n">
        <v>1</v>
      </c>
      <c r="B3" s="18" t="s">
        <v>276</v>
      </c>
      <c r="C3" s="19" t="n">
        <f aca="false">COUNTIFS(ground_truth!$O$2:$O$200,"tonnes",ground_truth!$H$2:$H$200,"")+COUNTIFS(ground_truth!$O$2:$O$200,"kg",ground_truth!$H$2:$H$200,"")</f>
        <v>0</v>
      </c>
      <c r="D3" s="20" t="str">
        <f aca="false">IF(C3=0,"PASS","FIX")</f>
        <v>PASS</v>
      </c>
      <c r="E3" s="7" t="s">
        <v>277</v>
      </c>
    </row>
    <row r="4" customFormat="false" ht="25.5" hidden="false" customHeight="true" outlineLevel="0" collapsed="false">
      <c r="A4" s="18" t="n">
        <v>2</v>
      </c>
      <c r="B4" s="18" t="s">
        <v>278</v>
      </c>
      <c r="C4" s="19" t="n">
        <f aca="false">COUNTIFS(ground_truth!$G$2:$G$200,"*volume*",ground_truth!$C$2:$C$200,"&lt;&gt;segment")</f>
        <v>0</v>
      </c>
      <c r="D4" s="20" t="str">
        <f aca="false">IF(C4=0,"PASS","FIX")</f>
        <v>PASS</v>
      </c>
      <c r="E4" s="7" t="s">
        <v>279</v>
      </c>
    </row>
    <row r="5" customFormat="false" ht="25.5" hidden="false" customHeight="true" outlineLevel="0" collapsed="false">
      <c r="A5" s="18" t="n">
        <v>3</v>
      </c>
      <c r="B5" s="18" t="s">
        <v>280</v>
      </c>
      <c r="C5" s="19" t="n">
        <f aca="false">SUMPRODUCT((ground_truth!$A$2:$A$200&lt;&gt;"")*(ground_truth!$I$2:$I$200&lt;&gt;"")*(ground_truth!$I$2:$I$200&lt;&gt;"FY2025")*(ground_truth!$I$2:$I$200&lt;&gt;"not_applicable")*(UPPER(ground_truth!$T$2:$T$200&amp;"")&lt;&gt;"TRUE"))</f>
        <v>0</v>
      </c>
      <c r="D5" s="20" t="str">
        <f aca="false">IF(C5=0,"PASS","FIX")</f>
        <v>PASS</v>
      </c>
      <c r="E5" s="7" t="s">
        <v>281</v>
      </c>
    </row>
    <row r="6" customFormat="false" ht="25.5" hidden="false" customHeight="true" outlineLevel="0" collapsed="false">
      <c r="A6" s="18" t="n">
        <v>4</v>
      </c>
      <c r="B6" s="18" t="s">
        <v>282</v>
      </c>
      <c r="C6" s="19" t="n">
        <f aca="false">COUNTIF(ground_truth!$R$2:$R$200,"derived")</f>
        <v>0</v>
      </c>
      <c r="D6" s="20" t="str">
        <f aca="false">IF(C6=0,"PASS","FIX")</f>
        <v>PASS</v>
      </c>
      <c r="E6" s="7" t="s">
        <v>283</v>
      </c>
    </row>
    <row r="7" customFormat="false" ht="25.5" hidden="false" customHeight="true" outlineLevel="0" collapsed="false">
      <c r="A7" s="18" t="n">
        <v>5</v>
      </c>
      <c r="B7" s="18" t="s">
        <v>284</v>
      </c>
      <c r="C7" s="19" t="n">
        <f aca="false">COUNTIFS(ground_truth!$A$2:$A$200,"&lt;&gt;",ground_truth!$R$2:$R$200,"as_reported",ground_truth!$Y$2:$Y$200,"")</f>
        <v>0</v>
      </c>
      <c r="D7" s="20" t="str">
        <f aca="false">IF(C7=0,"PASS","FIX")</f>
        <v>PASS</v>
      </c>
      <c r="E7" s="7" t="s">
        <v>285</v>
      </c>
    </row>
    <row r="8" customFormat="false" ht="25.5" hidden="false" customHeight="true" outlineLevel="0" collapsed="false">
      <c r="A8" s="18" t="n">
        <v>6</v>
      </c>
      <c r="B8" s="18" t="s">
        <v>286</v>
      </c>
      <c r="C8" s="19" t="n">
        <f aca="false">COUNTIFS(ground_truth!$G$2:$G$200,"revenue",ground_truth!$N$2:$N$200,"&lt;100000",ground_truth!$N$2:$N$200,"&lt;&gt;")</f>
        <v>0</v>
      </c>
      <c r="D8" s="20" t="str">
        <f aca="false">IF(C8=0,"PASS","FIX")</f>
        <v>PASS</v>
      </c>
      <c r="E8" s="7" t="s">
        <v>287</v>
      </c>
    </row>
    <row r="9" customFormat="false" ht="15" hidden="false" customHeight="true" outlineLevel="0" collapsed="false">
      <c r="A9" s="18" t="n">
        <v>7</v>
      </c>
      <c r="B9" s="18" t="s">
        <v>288</v>
      </c>
      <c r="C9" s="19" t="n">
        <f aca="false">COUNTIFS(ground_truth!$O$2:$O$200,"USD_per*",ground_truth!$P$2:$P$200,"&lt;&gt;USD")</f>
        <v>0</v>
      </c>
      <c r="D9" s="20" t="str">
        <f aca="false">IF(C9=0,"PASS","FIX")</f>
        <v>PASS</v>
      </c>
      <c r="E9" s="7" t="s">
        <v>289</v>
      </c>
    </row>
    <row r="10" customFormat="false" ht="15" hidden="false" customHeight="true" outlineLevel="0" collapsed="false">
      <c r="A10" s="18" t="n">
        <v>8</v>
      </c>
      <c r="B10" s="18" t="s">
        <v>290</v>
      </c>
      <c r="C10" s="19" t="n">
        <f aca="false">COUNTIFS(ground_truth!$E$2:$E$200,"total_REO",ground_truth!$G$2:$G$200,"*price*",ground_truth!$Q$2:$Q$200,"single_material")</f>
        <v>0</v>
      </c>
      <c r="D10" s="20" t="str">
        <f aca="false">IF(C10=0,"PASS","FIX")</f>
        <v>PASS</v>
      </c>
      <c r="E10" s="7" t="s">
        <v>291</v>
      </c>
    </row>
    <row r="11" customFormat="false" ht="25.5" hidden="false" customHeight="true" outlineLevel="0" collapsed="false">
      <c r="A11" s="18" t="n">
        <v>9</v>
      </c>
      <c r="B11" s="18" t="s">
        <v>292</v>
      </c>
      <c r="C11" s="19" t="n">
        <f aca="false">20-COUNTIF(worklist!$B$2:$B$21,"yes")</f>
        <v>0</v>
      </c>
      <c r="D11" s="20" t="str">
        <f aca="false">IF(C11=0,"PASS","FIX")</f>
        <v>PASS</v>
      </c>
      <c r="E11" s="7" t="s">
        <v>293</v>
      </c>
    </row>
    <row r="13" customFormat="false" ht="15" hidden="false" customHeight="true" outlineLevel="0" collapsed="false">
      <c r="B13" s="21" t="s">
        <v>294</v>
      </c>
    </row>
    <row r="14" customFormat="false" ht="15" hidden="false" customHeight="true" outlineLevel="0" collapsed="false">
      <c r="B14" s="3" t="s">
        <v>295</v>
      </c>
      <c r="C14" s="19" t="n">
        <f aca="false">IFERROR(SUMIFS(ground_truth!$N$2:$N$200,ground_truth!$G$2:$G$200,"revenue",ground_truth!$F$2:$F$200,"concentrate",ground_truth!$I$2:$I$200,"FY2025"),0)</f>
        <v>41992000</v>
      </c>
    </row>
    <row r="15" customFormat="false" ht="15" hidden="false" customHeight="true" outlineLevel="0" collapsed="false">
      <c r="B15" s="3" t="s">
        <v>296</v>
      </c>
      <c r="C15" s="19" t="n">
        <f aca="false">IFERROR(SUMIFS(ground_truth!$N$2:$N$200,ground_truth!$G$2:$G$200,"sales_volume",ground_truth!$F$2:$F$200,"concentrate",ground_truth!$I$2:$I$200,"FY2025"),0)</f>
        <v>8922</v>
      </c>
    </row>
    <row r="16" customFormat="false" ht="15" hidden="false" customHeight="true" outlineLevel="0" collapsed="false">
      <c r="B16" s="3" t="s">
        <v>297</v>
      </c>
      <c r="C16" s="22" t="n">
        <f aca="false">IFERROR(C14/C15,"")</f>
        <v>4706.56803407308</v>
      </c>
    </row>
    <row r="17" customFormat="false" ht="15" hidden="false" customHeight="true" outlineLevel="0" collapsed="false">
      <c r="B17" s="3" t="s">
        <v>298</v>
      </c>
      <c r="C17" s="19" t="n">
        <f aca="false">IFERROR(SUMIFS(ground_truth!$N$2:$N$200,ground_truth!$G$2:$G$200,"avg_selling_price",ground_truth!$F$2:$F$200,"concentrate",ground_truth!$I$2:$I$200,"FY2025"),0)</f>
        <v>4707</v>
      </c>
    </row>
    <row r="18" customFormat="false" ht="25.5" hidden="false" customHeight="true" outlineLevel="0" collapsed="false">
      <c r="B18" s="3" t="s">
        <v>299</v>
      </c>
      <c r="C18" s="23" t="n">
        <f aca="false">IFERROR(ABS(C16-C17)/C17,"")</f>
        <v>9.17709638670497E-005</v>
      </c>
      <c r="D18" s="24" t="str">
        <f aca="false">IF(C18="","",IF(C18&lt;0.0001,"PASS","FIX"))</f>
        <v>PASS</v>
      </c>
      <c r="E18" s="25" t="s">
        <v>300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O9" activeCellId="0" sqref="O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13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1"/>
    <col collapsed="false" customWidth="true" hidden="false" outlineLevel="0" max="12" min="11" style="1" width="14"/>
    <col collapsed="false" customWidth="true" hidden="false" outlineLevel="0" max="13" min="13" style="1" width="11"/>
    <col collapsed="false" customWidth="true" hidden="false" outlineLevel="0" max="14" min="14" style="1" width="15"/>
    <col collapsed="false" customWidth="true" hidden="false" outlineLevel="0" max="15" min="15" style="1" width="14"/>
    <col collapsed="false" customWidth="true" hidden="false" outlineLevel="0" max="16" min="16" style="1" width="9"/>
    <col collapsed="false" customWidth="true" hidden="false" outlineLevel="0" max="17" min="17" style="1" width="15"/>
    <col collapsed="false" customWidth="true" hidden="false" outlineLevel="0" max="19" min="18" style="1" width="12"/>
    <col collapsed="false" customWidth="true" hidden="false" outlineLevel="0" max="20" min="20" style="1" width="13"/>
    <col collapsed="false" customWidth="true" hidden="false" outlineLevel="0" max="21" min="21" style="1" width="10"/>
    <col collapsed="false" customWidth="true" hidden="false" outlineLevel="0" max="22" min="22" style="1" width="30"/>
    <col collapsed="false" customWidth="true" hidden="false" outlineLevel="0" max="23" min="23" style="1" width="9"/>
    <col collapsed="false" customWidth="true" hidden="false" outlineLevel="0" max="24" min="24" style="1" width="11"/>
    <col collapsed="false" customWidth="true" hidden="false" outlineLevel="0" max="25" min="25" style="1" width="24"/>
    <col collapsed="false" customWidth="true" hidden="false" outlineLevel="0" max="26" min="26" style="1" width="9"/>
    <col collapsed="false" customWidth="true" hidden="false" outlineLevel="0" max="27" min="27" style="1" width="11"/>
    <col collapsed="false" customWidth="true" hidden="false" outlineLevel="0" max="28" min="28" style="1" width="42"/>
  </cols>
  <sheetData>
    <row r="1" customFormat="false" ht="25.5" hidden="false" customHeight="true" outlineLevel="0" collapsed="false">
      <c r="A1" s="10" t="s">
        <v>224</v>
      </c>
      <c r="B1" s="10" t="s">
        <v>225</v>
      </c>
      <c r="C1" s="10" t="s">
        <v>128</v>
      </c>
      <c r="D1" s="11" t="s">
        <v>156</v>
      </c>
      <c r="E1" s="10" t="s">
        <v>124</v>
      </c>
      <c r="F1" s="10" t="s">
        <v>126</v>
      </c>
      <c r="G1" s="10" t="s">
        <v>125</v>
      </c>
      <c r="H1" s="10" t="s">
        <v>127</v>
      </c>
      <c r="I1" s="10" t="s">
        <v>39</v>
      </c>
      <c r="J1" s="10" t="s">
        <v>131</v>
      </c>
      <c r="K1" s="10" t="s">
        <v>226</v>
      </c>
      <c r="L1" s="10" t="s">
        <v>227</v>
      </c>
      <c r="M1" s="10" t="s">
        <v>228</v>
      </c>
      <c r="N1" s="12" t="s">
        <v>229</v>
      </c>
      <c r="O1" s="10" t="s">
        <v>132</v>
      </c>
      <c r="P1" s="10" t="s">
        <v>133</v>
      </c>
      <c r="Q1" s="10" t="s">
        <v>129</v>
      </c>
      <c r="R1" s="10" t="s">
        <v>130</v>
      </c>
      <c r="S1" s="11" t="s">
        <v>230</v>
      </c>
      <c r="T1" s="10" t="s">
        <v>137</v>
      </c>
      <c r="U1" s="10" t="s">
        <v>134</v>
      </c>
      <c r="V1" s="10" t="s">
        <v>231</v>
      </c>
      <c r="W1" s="10" t="s">
        <v>40</v>
      </c>
      <c r="X1" s="11" t="s">
        <v>41</v>
      </c>
      <c r="Y1" s="10" t="s">
        <v>232</v>
      </c>
      <c r="Z1" s="10" t="s">
        <v>135</v>
      </c>
      <c r="AA1" s="10" t="s">
        <v>136</v>
      </c>
      <c r="AB1" s="11" t="s">
        <v>233</v>
      </c>
    </row>
    <row r="2" customFormat="false" ht="51" hidden="false" customHeight="true" outlineLevel="0" collapsed="false">
      <c r="A2" s="7" t="s">
        <v>301</v>
      </c>
      <c r="B2" s="7" t="s">
        <v>234</v>
      </c>
      <c r="C2" s="7" t="s">
        <v>156</v>
      </c>
      <c r="D2" s="7" t="s">
        <v>235</v>
      </c>
      <c r="E2" s="7" t="s">
        <v>210</v>
      </c>
      <c r="F2" s="7" t="s">
        <v>154</v>
      </c>
      <c r="G2" s="7" t="s">
        <v>167</v>
      </c>
      <c r="H2" s="7" t="s">
        <v>141</v>
      </c>
      <c r="I2" s="7" t="s">
        <v>47</v>
      </c>
      <c r="J2" s="7" t="s">
        <v>145</v>
      </c>
      <c r="K2" s="26" t="s">
        <v>236</v>
      </c>
      <c r="L2" s="7" t="n">
        <v>41992</v>
      </c>
      <c r="M2" s="7" t="n">
        <v>1000</v>
      </c>
      <c r="N2" s="27" t="n">
        <f aca="false">L2*M2</f>
        <v>41992000</v>
      </c>
      <c r="O2" s="7" t="s">
        <v>147</v>
      </c>
      <c r="P2" s="7" t="s">
        <v>147</v>
      </c>
      <c r="Q2" s="7" t="s">
        <v>112</v>
      </c>
      <c r="R2" s="7" t="s">
        <v>144</v>
      </c>
      <c r="S2" s="7"/>
      <c r="T2" s="7" t="s">
        <v>165</v>
      </c>
      <c r="U2" s="7" t="s">
        <v>148</v>
      </c>
      <c r="V2" s="7" t="s">
        <v>237</v>
      </c>
      <c r="W2" s="7" t="n">
        <v>48</v>
      </c>
      <c r="X2" s="7" t="n">
        <v>44</v>
      </c>
      <c r="Y2" s="7" t="s">
        <v>238</v>
      </c>
      <c r="Z2" s="7" t="s">
        <v>149</v>
      </c>
      <c r="AA2" s="7" t="s">
        <v>150</v>
      </c>
      <c r="AB2" s="7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62"/>
    <col collapsed="false" customWidth="true" hidden="false" outlineLevel="0" max="6" min="6" style="1" width="22"/>
    <col collapsed="false" customWidth="true" hidden="false" outlineLevel="0" max="7" min="7" style="1" width="13"/>
    <col collapsed="false" customWidth="true" hidden="false" outlineLevel="0" max="8" min="8" style="1" width="8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66"/>
  </cols>
  <sheetData>
    <row r="1" customFormat="false" ht="25.5" hidden="false" customHeight="true" outlineLevel="0" collapsed="false">
      <c r="A1" s="5" t="s">
        <v>231</v>
      </c>
      <c r="B1" s="5" t="s">
        <v>225</v>
      </c>
      <c r="C1" s="5" t="s">
        <v>134</v>
      </c>
      <c r="D1" s="5" t="s">
        <v>303</v>
      </c>
      <c r="E1" s="5" t="s">
        <v>304</v>
      </c>
      <c r="F1" s="5" t="s">
        <v>305</v>
      </c>
      <c r="G1" s="5" t="s">
        <v>306</v>
      </c>
      <c r="H1" s="5" t="s">
        <v>307</v>
      </c>
      <c r="I1" s="5" t="s">
        <v>308</v>
      </c>
      <c r="J1" s="5" t="s">
        <v>135</v>
      </c>
      <c r="K1" s="5" t="s">
        <v>233</v>
      </c>
    </row>
    <row r="2" customFormat="false" ht="51" hidden="false" customHeight="true" outlineLevel="0" collapsed="false">
      <c r="A2" s="25" t="s">
        <v>237</v>
      </c>
      <c r="B2" s="25" t="s">
        <v>234</v>
      </c>
      <c r="C2" s="25" t="s">
        <v>148</v>
      </c>
      <c r="D2" s="25" t="s">
        <v>309</v>
      </c>
      <c r="E2" s="25" t="s">
        <v>310</v>
      </c>
      <c r="F2" s="25" t="s">
        <v>311</v>
      </c>
      <c r="G2" s="25"/>
      <c r="H2" s="25" t="n">
        <v>121</v>
      </c>
      <c r="I2" s="25" t="s">
        <v>312</v>
      </c>
      <c r="J2" s="25" t="s">
        <v>149</v>
      </c>
      <c r="K2" s="25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2026-09-14T20:43:18Z</dcterms:created>
  <dc:creator>openpyxl</dc:creator>
  <dc:description/>
  <dc:language>en-US</dc:language>
  <cp:lastModifiedBy>Mayank Pathak</cp:lastModifiedBy>
  <dcterms:modified xsi:type="dcterms:W3CDTF">2026-09-21T12:45:43Z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